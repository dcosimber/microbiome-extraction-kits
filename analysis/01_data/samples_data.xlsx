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microbiome_kits\tables\"/>
    </mc:Choice>
  </mc:AlternateContent>
  <xr:revisionPtr revIDLastSave="0" documentId="13_ncr:1_{34B32B65-6C8C-46E8-B31D-34378FE7A2C7}" xr6:coauthVersionLast="47" xr6:coauthVersionMax="47" xr10:uidLastSave="{00000000-0000-0000-0000-000000000000}"/>
  <bookViews>
    <workbookView xWindow="-28920" yWindow="-120" windowWidth="29040" windowHeight="15720" activeTab="1" xr2:uid="{00000000-000D-0000-FFFF-FFFF00000000}"/>
  </bookViews>
  <sheets>
    <sheet name="samples" sheetId="4" r:id="rId1"/>
    <sheet name="sampling" sheetId="3" r:id="rId2"/>
    <sheet name="Extracciones" sheetId="1" r:id="rId3"/>
    <sheet name="Secuenciación" sheetId="9" r:id="rId4"/>
    <sheet name="NANODROP" sheetId="5" r:id="rId5"/>
    <sheet name="Observaciones"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9" l="1"/>
  <c r="I18" i="9"/>
  <c r="I17" i="9"/>
  <c r="J14" i="9"/>
</calcChain>
</file>

<file path=xl/sharedStrings.xml><?xml version="1.0" encoding="utf-8"?>
<sst xmlns="http://schemas.openxmlformats.org/spreadsheetml/2006/main" count="1248" uniqueCount="336">
  <si>
    <t>Código</t>
  </si>
  <si>
    <t>Fecha de extracción</t>
  </si>
  <si>
    <t>Kit</t>
  </si>
  <si>
    <t>[ng/µL] Nanodrop</t>
  </si>
  <si>
    <t>Ratio 260/280</t>
  </si>
  <si>
    <t>Ratio 260/230</t>
  </si>
  <si>
    <t xml:space="preserve">CONTROLES </t>
  </si>
  <si>
    <t>PowerFecal Pro</t>
  </si>
  <si>
    <t>Control</t>
  </si>
  <si>
    <t xml:space="preserve">Volumen </t>
  </si>
  <si>
    <t>ZymoBIOMICS D6300</t>
  </si>
  <si>
    <t xml:space="preserve">(25ul) Microbial Community Standard- Powerfecal </t>
  </si>
  <si>
    <t xml:space="preserve">(25ul) Microbial Community Standard- Master Pure </t>
  </si>
  <si>
    <t xml:space="preserve">(25ul) Microbial Community Standard- Powersoil </t>
  </si>
  <si>
    <t>(25ul) Microbial Community Standard- PureLink</t>
  </si>
  <si>
    <t>D6300: ZymoBIOMICS Microbial Community Standard (10 preps)</t>
  </si>
  <si>
    <t>Master Pure</t>
  </si>
  <si>
    <t>Powersoil</t>
  </si>
  <si>
    <t>PureLink</t>
  </si>
  <si>
    <r>
      <t>V</t>
    </r>
    <r>
      <rPr>
        <b/>
        <sz val="12"/>
        <color rgb="FFFFFFFF"/>
        <rFont val="Calibri"/>
        <family val="2"/>
      </rPr>
      <t>olumen  de elución (µL)</t>
    </r>
  </si>
  <si>
    <t>P1M1</t>
  </si>
  <si>
    <t>P1M2</t>
  </si>
  <si>
    <t>P1M3</t>
  </si>
  <si>
    <t>P1M4</t>
  </si>
  <si>
    <t>Especie</t>
  </si>
  <si>
    <t>Tejido</t>
  </si>
  <si>
    <t>Pulpo</t>
  </si>
  <si>
    <t>P1</t>
  </si>
  <si>
    <t>P2</t>
  </si>
  <si>
    <t>P3</t>
  </si>
  <si>
    <t>P4</t>
  </si>
  <si>
    <t>P5</t>
  </si>
  <si>
    <t>Octopus vulgaris</t>
  </si>
  <si>
    <t>R1</t>
  </si>
  <si>
    <t>R2</t>
  </si>
  <si>
    <t>R3</t>
  </si>
  <si>
    <t>R4</t>
  </si>
  <si>
    <t>R5</t>
  </si>
  <si>
    <t>Scophthalmus maximus</t>
  </si>
  <si>
    <t>Rodaballo</t>
  </si>
  <si>
    <t>R09</t>
  </si>
  <si>
    <t>R-15</t>
  </si>
  <si>
    <t>P2M1</t>
  </si>
  <si>
    <t>P2M2</t>
  </si>
  <si>
    <t>P2M3</t>
  </si>
  <si>
    <t>P2M4</t>
  </si>
  <si>
    <t>P3M1</t>
  </si>
  <si>
    <t>P3M2</t>
  </si>
  <si>
    <t>P3M4</t>
  </si>
  <si>
    <t>P3M3</t>
  </si>
  <si>
    <t>P4M1</t>
  </si>
  <si>
    <t>P4M2</t>
  </si>
  <si>
    <t>P4M3</t>
  </si>
  <si>
    <t>P4M4</t>
  </si>
  <si>
    <t>P5M1</t>
  </si>
  <si>
    <t>P5M2</t>
  </si>
  <si>
    <t>P5M3</t>
  </si>
  <si>
    <t>P5M4</t>
  </si>
  <si>
    <t>P1I1</t>
  </si>
  <si>
    <t>P1I2</t>
  </si>
  <si>
    <t>P1I3</t>
  </si>
  <si>
    <t>P1I4</t>
  </si>
  <si>
    <t>P2I1</t>
  </si>
  <si>
    <t>P2I2</t>
  </si>
  <si>
    <t>P2I3</t>
  </si>
  <si>
    <t>P2I4</t>
  </si>
  <si>
    <t>P3I1</t>
  </si>
  <si>
    <t>P3I2</t>
  </si>
  <si>
    <t>P3I3</t>
  </si>
  <si>
    <t>P3I4</t>
  </si>
  <si>
    <t>P4I1</t>
  </si>
  <si>
    <t>P4I2</t>
  </si>
  <si>
    <t>P4I3</t>
  </si>
  <si>
    <t>P4I4</t>
  </si>
  <si>
    <t>P5I1</t>
  </si>
  <si>
    <t>P5I2</t>
  </si>
  <si>
    <t>P5I3</t>
  </si>
  <si>
    <t>P5I4</t>
  </si>
  <si>
    <t>Manto</t>
  </si>
  <si>
    <t>R1M1</t>
  </si>
  <si>
    <t>R1M2</t>
  </si>
  <si>
    <t>R1M3</t>
  </si>
  <si>
    <t>R1M4</t>
  </si>
  <si>
    <t>R2M1</t>
  </si>
  <si>
    <t>R2M2</t>
  </si>
  <si>
    <t>R2M3</t>
  </si>
  <si>
    <t>R2M4</t>
  </si>
  <si>
    <t>R3M1</t>
  </si>
  <si>
    <t>R3M2</t>
  </si>
  <si>
    <t>R3M3</t>
  </si>
  <si>
    <t>R3M4</t>
  </si>
  <si>
    <t>R4M1</t>
  </si>
  <si>
    <t>R4M2</t>
  </si>
  <si>
    <t>R4M3</t>
  </si>
  <si>
    <t>R4M4</t>
  </si>
  <si>
    <t>R5M1</t>
  </si>
  <si>
    <t>R5M2</t>
  </si>
  <si>
    <t>R5M3</t>
  </si>
  <si>
    <t>R5M4</t>
  </si>
  <si>
    <t>R1I1</t>
  </si>
  <si>
    <t>R1I2</t>
  </si>
  <si>
    <t>R1I3</t>
  </si>
  <si>
    <t>R1I4</t>
  </si>
  <si>
    <t>R2I1</t>
  </si>
  <si>
    <t>R2I2</t>
  </si>
  <si>
    <t>R2I3</t>
  </si>
  <si>
    <t>R2I4</t>
  </si>
  <si>
    <t>R3I1</t>
  </si>
  <si>
    <t>R3I2</t>
  </si>
  <si>
    <t>R3I3</t>
  </si>
  <si>
    <t>R3I4</t>
  </si>
  <si>
    <t>R4I1</t>
  </si>
  <si>
    <t>R4I2</t>
  </si>
  <si>
    <t>R4I3</t>
  </si>
  <si>
    <t>R4I4</t>
  </si>
  <si>
    <t>R5I1</t>
  </si>
  <si>
    <t>R5I2</t>
  </si>
  <si>
    <t>R5I3</t>
  </si>
  <si>
    <t>R5I4</t>
  </si>
  <si>
    <t>Intestino</t>
  </si>
  <si>
    <t>Piel</t>
  </si>
  <si>
    <t>No</t>
  </si>
  <si>
    <t>ID tubo</t>
  </si>
  <si>
    <t>35 Buffer</t>
  </si>
  <si>
    <t>ID Novogene</t>
  </si>
  <si>
    <t xml:space="preserve">OS </t>
  </si>
  <si>
    <t>Octopus Skin</t>
  </si>
  <si>
    <t>OM</t>
  </si>
  <si>
    <t>Octopus Mantle</t>
  </si>
  <si>
    <t>TS</t>
  </si>
  <si>
    <t>Turbot Skin</t>
  </si>
  <si>
    <t>TG</t>
  </si>
  <si>
    <t>Turbot Gut</t>
  </si>
  <si>
    <t>Novogene sample IDs</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</si>
  <si>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</si>
  <si>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</si>
  <si>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</si>
  <si>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</si>
  <si>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</si>
  <si>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</si>
  <si>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</si>
  <si>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</si>
  <si>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</si>
  <si>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</si>
  <si>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</si>
  <si>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</si>
  <si>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</si>
  <si>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</si>
  <si>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</si>
  <si>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</si>
  <si>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</si>
  <si>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</si>
  <si>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</si>
  <si>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</si>
  <si>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</si>
  <si>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</si>
  <si>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</si>
  <si>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</si>
  <si>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</si>
  <si>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</si>
  <si>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</si>
  <si>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</si>
  <si>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</si>
  <si>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</si>
  <si>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</si>
  <si>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</si>
  <si>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</si>
  <si>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</si>
  <si>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</si>
  <si>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</si>
  <si>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</si>
  <si>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</si>
  <si>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</si>
  <si>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</si>
  <si>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</si>
  <si>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</si>
  <si>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</si>
  <si>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</si>
  <si>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</si>
  <si>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</si>
  <si>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</si>
  <si>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</si>
  <si>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</si>
  <si>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</si>
  <si>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</si>
  <si>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</si>
  <si>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</si>
  <si>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</si>
  <si>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</si>
  <si>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</si>
  <si>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</si>
  <si>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</si>
  <si>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</si>
  <si>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</si>
  <si>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</si>
  <si>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</si>
  <si>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</si>
  <si>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</si>
  <si>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</si>
  <si>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</si>
  <si>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</si>
  <si>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</si>
  <si>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</si>
  <si>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</si>
  <si>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</si>
  <si>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</si>
  <si>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</si>
  <si>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</si>
  <si>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</si>
  <si>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</si>
  <si>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</si>
  <si>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</si>
  <si>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</si>
  <si>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</si>
  <si>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Fecha</t>
  </si>
  <si>
    <t>Nombre de muestra</t>
  </si>
  <si>
    <t>Ácido nucleico(ng/uL)</t>
  </si>
  <si>
    <t>A260/A280</t>
  </si>
  <si>
    <t>A260/A230</t>
  </si>
  <si>
    <t>A260</t>
  </si>
  <si>
    <t>A280</t>
  </si>
  <si>
    <t>Factor de ácido nucleico</t>
  </si>
  <si>
    <t>Corrección de línea base (nm)</t>
  </si>
  <si>
    <t>Absorbancia de línea base</t>
  </si>
  <si>
    <t xml:space="preserve">P1M1 </t>
  </si>
  <si>
    <t xml:space="preserve">P1I1 </t>
  </si>
  <si>
    <t xml:space="preserve">R1M1 </t>
  </si>
  <si>
    <t xml:space="preserve">R1I1 </t>
  </si>
  <si>
    <r>
      <t>Ácido nucleico(ng/</t>
    </r>
    <r>
      <rPr>
        <sz val="11"/>
        <color rgb="FF000000"/>
        <rFont val="Calibri"/>
        <family val="2"/>
        <charset val="1"/>
      </rPr>
      <t>µ</t>
    </r>
    <r>
      <rPr>
        <sz val="11"/>
        <color rgb="FF000000"/>
        <rFont val="Calibri"/>
        <family val="2"/>
        <charset val="1"/>
      </rPr>
      <t>L)</t>
    </r>
  </si>
  <si>
    <t xml:space="preserve">P2M1 </t>
  </si>
  <si>
    <t xml:space="preserve">P2I1  </t>
  </si>
  <si>
    <t xml:space="preserve">P3M1 </t>
  </si>
  <si>
    <t xml:space="preserve">P3I1 </t>
  </si>
  <si>
    <t xml:space="preserve">P4M1  </t>
  </si>
  <si>
    <t xml:space="preserve">P4I1  </t>
  </si>
  <si>
    <t xml:space="preserve">P5M1  </t>
  </si>
  <si>
    <t xml:space="preserve">P5I1   </t>
  </si>
  <si>
    <t xml:space="preserve">R2M1 </t>
  </si>
  <si>
    <t xml:space="preserve">R3M1  </t>
  </si>
  <si>
    <t xml:space="preserve">R4M1   </t>
  </si>
  <si>
    <t xml:space="preserve">R5M1    </t>
  </si>
  <si>
    <t xml:space="preserve">R2I1 </t>
  </si>
  <si>
    <t xml:space="preserve">R3I1  </t>
  </si>
  <si>
    <t xml:space="preserve">R4I1   </t>
  </si>
  <si>
    <t xml:space="preserve">R5I1    </t>
  </si>
  <si>
    <t xml:space="preserve">control reactivos </t>
  </si>
  <si>
    <t>50 Buffer</t>
  </si>
  <si>
    <t>35 buffer</t>
  </si>
  <si>
    <t xml:space="preserve">P1M3 </t>
  </si>
  <si>
    <t xml:space="preserve">P4M3 </t>
  </si>
  <si>
    <t xml:space="preserve">P3I3   </t>
  </si>
  <si>
    <t xml:space="preserve">P1I3 </t>
  </si>
  <si>
    <t xml:space="preserve">P2I3  </t>
  </si>
  <si>
    <r>
      <t>Fuera de rango (</t>
    </r>
    <r>
      <rPr>
        <sz val="12"/>
        <color rgb="FF000000"/>
        <rFont val="Calibri"/>
        <family val="2"/>
        <charset val="1"/>
      </rPr>
      <t>↓</t>
    </r>
    <r>
      <rPr>
        <sz val="13.8"/>
        <color rgb="FF000000"/>
        <rFont val="Calibri"/>
        <family val="2"/>
        <charset val="1"/>
      </rPr>
      <t>)</t>
    </r>
  </si>
  <si>
    <t>POWERFECAL Pro: Las 4 muestras extraídas el 18/11/25 han sido obtenidas siguiendo el protocolo (sin añadir modificaciones) debido a que los resultados han salido demasiado bajos, las muestras siguientes bajo acuerdo de Dani y Pep se modificaron en dos condiciones: el tiempo de vórtex pasó a ser de 20 minutos en vez de 10 min. y la elución se realizó en 35 uL en lugar de 50 uL. Nos extrañó que en el QUBIT saliera así, por ellos repetimos las mediciones en el Nanodrop antiguo y replicaron los resultados, por lo tanto no tenemos claro que en el Qubit ha pasado esta ya que incluso se han repetidos estas muestras con un kit nuevo de HS QUBIT.</t>
  </si>
  <si>
    <t xml:space="preserve">P4I3 </t>
  </si>
  <si>
    <t xml:space="preserve">P5I3 </t>
  </si>
  <si>
    <t xml:space="preserve">R1M3 </t>
  </si>
  <si>
    <t xml:space="preserve">R3M3 </t>
  </si>
  <si>
    <t xml:space="preserve">R4M3 </t>
  </si>
  <si>
    <t xml:space="preserve">R5M3  </t>
  </si>
  <si>
    <t xml:space="preserve">R1I3 </t>
  </si>
  <si>
    <t xml:space="preserve">R2I3  </t>
  </si>
  <si>
    <t xml:space="preserve">R3I3   </t>
  </si>
  <si>
    <t xml:space="preserve">R4I3    </t>
  </si>
  <si>
    <t xml:space="preserve">R5I3     </t>
  </si>
  <si>
    <t xml:space="preserve">R1I4  </t>
  </si>
  <si>
    <t xml:space="preserve">R1M4 </t>
  </si>
  <si>
    <t xml:space="preserve">R2I4   </t>
  </si>
  <si>
    <t xml:space="preserve">R3I4    </t>
  </si>
  <si>
    <t xml:space="preserve">R4I4     </t>
  </si>
  <si>
    <t xml:space="preserve">R5I4      </t>
  </si>
  <si>
    <t>POWERSOIL: La spin column de la muestra P4I4 estaba defectuosa, la arandela de plástico que sujeta la la membrana se movió de su sitio pero el filtro de membrana permanecio intacta.</t>
  </si>
  <si>
    <t xml:space="preserve">P1I4 </t>
  </si>
  <si>
    <t xml:space="preserve">P2I4 </t>
  </si>
  <si>
    <t xml:space="preserve">R2M4 </t>
  </si>
  <si>
    <t xml:space="preserve">R3M4  </t>
  </si>
  <si>
    <t xml:space="preserve">R4M4 </t>
  </si>
  <si>
    <t xml:space="preserve">R5M4  </t>
  </si>
  <si>
    <t xml:space="preserve">P1M4 </t>
  </si>
  <si>
    <t xml:space="preserve">P2M4  </t>
  </si>
  <si>
    <t xml:space="preserve">P3M4   </t>
  </si>
  <si>
    <t>MASTERPURE: Sin observaciones. El blanco de reactivos dio algo de concentración.</t>
  </si>
  <si>
    <t xml:space="preserve">P1M2 </t>
  </si>
  <si>
    <t xml:space="preserve">P1I2  </t>
  </si>
  <si>
    <t xml:space="preserve">P2M2   </t>
  </si>
  <si>
    <t xml:space="preserve">P2I2  </t>
  </si>
  <si>
    <t xml:space="preserve">P3M2 </t>
  </si>
  <si>
    <t xml:space="preserve">P4M2  </t>
  </si>
  <si>
    <t xml:space="preserve">P5M2   </t>
  </si>
  <si>
    <t xml:space="preserve">P3I2    </t>
  </si>
  <si>
    <t xml:space="preserve">P4I2     </t>
  </si>
  <si>
    <t xml:space="preserve">P5I2     </t>
  </si>
  <si>
    <t xml:space="preserve">R1M2 </t>
  </si>
  <si>
    <t xml:space="preserve">R2M2  </t>
  </si>
  <si>
    <t xml:space="preserve">R3M2 </t>
  </si>
  <si>
    <t xml:space="preserve">R5M2   </t>
  </si>
  <si>
    <t xml:space="preserve">R1I2   </t>
  </si>
  <si>
    <t xml:space="preserve">R2I2    </t>
  </si>
  <si>
    <t xml:space="preserve">R5I2 </t>
  </si>
  <si>
    <t xml:space="preserve">R4M2 </t>
  </si>
  <si>
    <t>PURELINK: La muestra P5M2 en el paso 6 (observación precipitado) apareció un plástico o precipitado…no lo tenemos muy claro, era transparente y grandote. La muestra R1M2 quedó a temperatura ambiente, se congeló al día siguiente por la mañana.</t>
  </si>
  <si>
    <r>
      <t>Fuera de rango (↓</t>
    </r>
    <r>
      <rPr>
        <sz val="13.8"/>
        <color rgb="FF000000"/>
        <rFont val="Calibri"/>
        <family val="2"/>
        <charset val="1"/>
      </rPr>
      <t>)</t>
    </r>
  </si>
  <si>
    <r>
      <t xml:space="preserve">[ng/µL] QUBIT             </t>
    </r>
    <r>
      <rPr>
        <b/>
        <sz val="10"/>
        <color rgb="FFFFFFFF"/>
        <rFont val="Calibri"/>
        <family val="2"/>
      </rPr>
      <t>ds DNA</t>
    </r>
    <r>
      <rPr>
        <b/>
        <sz val="12"/>
        <color rgb="FFFFFFFF"/>
        <rFont val="Calibri"/>
        <family val="2"/>
        <charset val="1"/>
      </rPr>
      <t xml:space="preserve"> </t>
    </r>
    <r>
      <rPr>
        <b/>
        <sz val="9"/>
        <color rgb="FFFFFFFF"/>
        <rFont val="Calibri"/>
        <family val="2"/>
      </rPr>
      <t>HS Assay kit</t>
    </r>
  </si>
  <si>
    <t>X1</t>
  </si>
  <si>
    <t>Secuenciar</t>
  </si>
  <si>
    <t>SI</t>
  </si>
  <si>
    <t>NO</t>
  </si>
  <si>
    <t>C MP</t>
  </si>
  <si>
    <t>MasterPure</t>
  </si>
  <si>
    <t>N</t>
  </si>
  <si>
    <t xml:space="preserve">Intestino </t>
  </si>
  <si>
    <t>PowerFecal</t>
  </si>
  <si>
    <t>PowerSoil</t>
  </si>
  <si>
    <t>Total MasterPure =</t>
  </si>
  <si>
    <t>Total PowerFecal =</t>
  </si>
  <si>
    <t xml:space="preserve">Total = </t>
  </si>
  <si>
    <t>Total PowerSoil =</t>
  </si>
  <si>
    <t>Tube ID</t>
  </si>
  <si>
    <t>Tank ID</t>
  </si>
  <si>
    <t>Age (months)</t>
  </si>
  <si>
    <t>Weight (Kg)</t>
  </si>
  <si>
    <t>Male</t>
  </si>
  <si>
    <t>Female</t>
  </si>
  <si>
    <t>Yes</t>
  </si>
  <si>
    <t>Tank ozonitacion</t>
  </si>
  <si>
    <t>Other information</t>
  </si>
  <si>
    <t>IIM ID</t>
  </si>
  <si>
    <t>PBC ID</t>
  </si>
  <si>
    <t>2 months in rafts + 1 month in RAS</t>
  </si>
  <si>
    <t>Species</t>
  </si>
  <si>
    <t>Sex</t>
  </si>
  <si>
    <t>Individual</t>
  </si>
  <si>
    <t>Tissue</t>
  </si>
  <si>
    <t>Swab nº</t>
  </si>
  <si>
    <t>Sampling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</si>
</sst>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rgb="FF000000"/>
      <name val="Calibri"/>
      <family val="2"/>
      <charset val="1"/>
    </font>
    <font>
      <b/>
      <sz val="12"/>
      <color rgb="FFFFFFFF"/>
      <name val="Calibri"/>
      <family val="2"/>
    </font>
    <font>
      <b/>
      <sz val="12"/>
      <color rgb="FFFFFFFF"/>
      <name val="Calibri"/>
      <family val="2"/>
      <charset val="1"/>
    </font>
    <font>
      <b/>
      <sz val="12"/>
      <color rgb="FF000000"/>
      <name val="Calibri"/>
      <family val="2"/>
    </font>
    <font>
      <sz val="12"/>
      <color rgb="FF000000"/>
      <name val="Calibri"/>
      <family val="2"/>
      <charset val="1"/>
    </font>
    <font>
      <b/>
      <sz val="11"/>
      <color rgb="FF000000"/>
      <name val="Calibri"/>
      <family val="2"/>
    </font>
    <font>
      <sz val="11"/>
      <color rgb="FF000000"/>
      <name val="Calibri"/>
      <family val="2"/>
    </font>
    <font>
      <sz val="8"/>
      <name val="Calibri"/>
      <family val="2"/>
      <charset val="1"/>
    </font>
    <font>
      <i/>
      <sz val="12"/>
      <color rgb="FF000000"/>
      <name val="Calibri"/>
      <family val="2"/>
    </font>
    <font>
      <sz val="12"/>
      <color rgb="FF000000"/>
      <name val="Calibri"/>
      <family val="2"/>
    </font>
    <font>
      <sz val="12"/>
      <color rgb="FFFFFFFF"/>
      <name val="Calibri"/>
      <family val="2"/>
    </font>
    <font>
      <sz val="13.8"/>
      <color rgb="FF000000"/>
      <name val="Calibri"/>
      <family val="2"/>
      <charset val="1"/>
    </font>
    <font>
      <b/>
      <sz val="9"/>
      <color rgb="FFFFFFFF"/>
      <name val="Calibri"/>
      <family val="2"/>
    </font>
    <font>
      <b/>
      <sz val="10"/>
      <color rgb="FFFFFFFF"/>
      <name val="Calibri"/>
      <family val="2"/>
    </font>
    <font>
      <b/>
      <sz val="12"/>
      <color theme="1"/>
      <name val="Calibri"/>
      <family val="2"/>
    </font>
    <font>
      <sz val="12"/>
      <color theme="1"/>
      <name val="Calibri"/>
      <family val="2"/>
      <charset val="1"/>
    </font>
    <font>
      <sz val="11"/>
      <color indexed="8"/>
      <name val="Aptos Narrow"/>
      <family val="2"/>
      <scheme val="minor"/>
    </font>
    <font>
      <sz val="12"/>
      <color theme="1"/>
      <name val="Calibri"/>
      <family val="2"/>
    </font>
    <font>
      <b/>
      <sz val="12"/>
      <color rgb="FFFF0000"/>
      <name val="Calibri"/>
      <family val="2"/>
    </font>
    <font>
      <u/>
      <sz val="11"/>
      <color rgb="FF000000"/>
      <name val="Calibri"/>
      <family val="2"/>
      <charset val="1"/>
    </font>
  </fonts>
  <fills count="14">
    <fill>
      <patternFill patternType="none"/>
    </fill>
    <fill>
      <patternFill patternType="gray125"/>
    </fill>
    <fill>
      <patternFill patternType="solid">
        <fgColor theme="8" tint="-0.249977111117893"/>
        <bgColor rgb="FF666699"/>
      </patternFill>
    </fill>
    <fill>
      <patternFill patternType="solid">
        <fgColor rgb="FFF2F2F2"/>
        <bgColor rgb="FFE2F0D9"/>
      </patternFill>
    </fill>
    <fill>
      <patternFill patternType="solid">
        <fgColor rgb="FFFFC000"/>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FFFF9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diagonal/>
    </border>
  </borders>
  <cellStyleXfs count="2">
    <xf numFmtId="0" fontId="0" fillId="0" borderId="0"/>
    <xf numFmtId="0" fontId="16" fillId="0" borderId="0"/>
  </cellStyleXfs>
  <cellXfs count="78">
    <xf numFmtId="0" fontId="0" fillId="0" borderId="0" xfId="0"/>
    <xf numFmtId="0" fontId="2" fillId="2" borderId="1" xfId="0" applyFont="1" applyFill="1" applyBorder="1" applyAlignment="1">
      <alignment horizontal="center" vertical="center" wrapText="1"/>
    </xf>
    <xf numFmtId="0" fontId="0" fillId="3" borderId="0" xfId="0" applyFill="1"/>
    <xf numFmtId="14" fontId="3"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0" fontId="6" fillId="3" borderId="0" xfId="0" applyFont="1" applyFill="1"/>
    <xf numFmtId="0" fontId="5" fillId="3" borderId="0" xfId="0" applyFont="1" applyFill="1"/>
    <xf numFmtId="164" fontId="0" fillId="3" borderId="0" xfId="0" applyNumberFormat="1" applyFill="1"/>
    <xf numFmtId="2" fontId="0" fillId="3" borderId="0" xfId="0" applyNumberFormat="1" applyFill="1"/>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4" fontId="4" fillId="0" borderId="2" xfId="0" applyNumberFormat="1" applyFont="1" applyBorder="1" applyAlignment="1">
      <alignment horizontal="center" vertical="center"/>
    </xf>
    <xf numFmtId="14" fontId="4" fillId="0" borderId="8" xfId="0" applyNumberFormat="1" applyFont="1" applyBorder="1" applyAlignment="1">
      <alignment horizontal="center" vertical="center"/>
    </xf>
    <xf numFmtId="0" fontId="1" fillId="0" borderId="5" xfId="0" applyFont="1" applyBorder="1" applyAlignment="1">
      <alignment horizontal="center" vertical="center"/>
    </xf>
    <xf numFmtId="0" fontId="2" fillId="0" borderId="6" xfId="0" applyFont="1" applyBorder="1" applyAlignment="1">
      <alignment horizontal="center" vertical="center" wrapText="1"/>
    </xf>
    <xf numFmtId="164" fontId="2" fillId="0" borderId="6"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3" fillId="0" borderId="4" xfId="0" applyFont="1" applyBorder="1" applyAlignment="1">
      <alignment horizontal="center" vertical="center"/>
    </xf>
    <xf numFmtId="0" fontId="9" fillId="0" borderId="4"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5" xfId="0" applyFont="1" applyBorder="1" applyAlignment="1">
      <alignment horizontal="center" vertical="center"/>
    </xf>
    <xf numFmtId="0" fontId="9" fillId="0" borderId="3" xfId="0" applyFont="1" applyBorder="1" applyAlignment="1">
      <alignment horizontal="center" vertical="center"/>
    </xf>
    <xf numFmtId="0" fontId="5" fillId="3" borderId="1" xfId="0" applyFont="1" applyFill="1" applyBorder="1" applyAlignment="1">
      <alignment horizontal="right" vertical="center"/>
    </xf>
    <xf numFmtId="0" fontId="6" fillId="3" borderId="1" xfId="0" applyFont="1" applyFill="1" applyBorder="1" applyAlignment="1">
      <alignment horizontal="left" vertical="center"/>
    </xf>
    <xf numFmtId="0" fontId="0" fillId="3" borderId="1" xfId="0" applyFill="1"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14" fontId="0" fillId="5" borderId="0" xfId="0" applyNumberFormat="1" applyFill="1"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xf>
    <xf numFmtId="14" fontId="0" fillId="5" borderId="0" xfId="0" applyNumberFormat="1" applyFill="1" applyAlignment="1">
      <alignment horizontal="center" vertical="center" wrapText="1"/>
    </xf>
    <xf numFmtId="0" fontId="0" fillId="0" borderId="0" xfId="0" applyAlignment="1">
      <alignment vertical="center" wrapText="1"/>
    </xf>
    <xf numFmtId="2" fontId="4" fillId="0" borderId="1" xfId="0" applyNumberFormat="1" applyFont="1" applyBorder="1" applyAlignment="1">
      <alignment horizontal="center" vertical="center" wrapText="1"/>
    </xf>
    <xf numFmtId="14" fontId="4" fillId="0" borderId="1" xfId="0" quotePrefix="1" applyNumberFormat="1" applyFont="1" applyBorder="1" applyAlignment="1">
      <alignment horizontal="center" vertical="center"/>
    </xf>
    <xf numFmtId="164" fontId="4" fillId="0" borderId="2" xfId="0" applyNumberFormat="1" applyFont="1" applyBorder="1" applyAlignment="1">
      <alignment horizontal="center" vertical="center"/>
    </xf>
    <xf numFmtId="14" fontId="4" fillId="0" borderId="3" xfId="0" applyNumberFormat="1" applyFont="1" applyBorder="1" applyAlignment="1">
      <alignment horizontal="center" vertical="center"/>
    </xf>
    <xf numFmtId="0" fontId="1" fillId="10" borderId="4" xfId="0" applyFont="1" applyFill="1" applyBorder="1" applyAlignment="1">
      <alignment horizontal="center" vertical="center"/>
    </xf>
    <xf numFmtId="0" fontId="1" fillId="10" borderId="1" xfId="0" applyFont="1" applyFill="1" applyBorder="1" applyAlignment="1">
      <alignment horizontal="center" vertical="center"/>
    </xf>
    <xf numFmtId="0" fontId="14" fillId="0" borderId="1" xfId="1" applyFont="1" applyBorder="1" applyAlignment="1">
      <alignment horizontal="center" vertical="center"/>
    </xf>
    <xf numFmtId="0" fontId="14" fillId="11" borderId="1" xfId="0" applyFont="1" applyFill="1" applyBorder="1" applyAlignment="1">
      <alignment horizontal="center" vertical="center"/>
    </xf>
    <xf numFmtId="0" fontId="15" fillId="11" borderId="1" xfId="0" applyFont="1" applyFill="1" applyBorder="1" applyAlignment="1">
      <alignment horizontal="center" vertical="center"/>
    </xf>
    <xf numFmtId="0" fontId="15" fillId="0" borderId="1" xfId="0" applyFont="1" applyBorder="1" applyAlignment="1">
      <alignment horizontal="center" vertical="center"/>
    </xf>
    <xf numFmtId="0" fontId="0" fillId="3" borderId="0" xfId="0" applyFill="1" applyAlignment="1">
      <alignment horizontal="center"/>
    </xf>
    <xf numFmtId="0" fontId="14" fillId="11" borderId="4" xfId="0" applyFont="1" applyFill="1" applyBorder="1" applyAlignment="1">
      <alignment horizontal="center" vertical="center"/>
    </xf>
    <xf numFmtId="0" fontId="14" fillId="0" borderId="4" xfId="0" applyFont="1" applyBorder="1" applyAlignment="1">
      <alignment horizontal="center" vertical="center"/>
    </xf>
    <xf numFmtId="0" fontId="1" fillId="10" borderId="5" xfId="0" applyFont="1" applyFill="1" applyBorder="1" applyAlignment="1">
      <alignment horizontal="center" vertical="center"/>
    </xf>
    <xf numFmtId="0" fontId="17" fillId="11" borderId="4" xfId="0" applyFont="1" applyFill="1" applyBorder="1" applyAlignment="1">
      <alignment horizontal="center" vertical="center"/>
    </xf>
    <xf numFmtId="0" fontId="17" fillId="0" borderId="4" xfId="0" applyFont="1" applyBorder="1" applyAlignment="1">
      <alignment horizontal="center" vertical="center"/>
    </xf>
    <xf numFmtId="0" fontId="17" fillId="0" borderId="9" xfId="0" applyFont="1" applyBorder="1" applyAlignment="1">
      <alignment horizontal="center" vertical="center"/>
    </xf>
    <xf numFmtId="0" fontId="17" fillId="11" borderId="1" xfId="0" applyFont="1" applyFill="1" applyBorder="1" applyAlignment="1">
      <alignment horizontal="center" vertical="center"/>
    </xf>
    <xf numFmtId="0" fontId="0" fillId="0" borderId="1" xfId="0" applyBorder="1" applyAlignment="1">
      <alignment horizontal="center" vertical="center"/>
    </xf>
    <xf numFmtId="0" fontId="1" fillId="0" borderId="6" xfId="0" applyFont="1" applyBorder="1" applyAlignment="1">
      <alignment horizontal="center" vertical="center" wrapText="1"/>
    </xf>
    <xf numFmtId="0" fontId="1" fillId="10" borderId="6" xfId="0" applyFont="1" applyFill="1" applyBorder="1" applyAlignment="1">
      <alignment horizontal="center" vertical="center" wrapText="1"/>
    </xf>
    <xf numFmtId="0" fontId="9" fillId="12" borderId="11" xfId="0" applyFont="1" applyFill="1" applyBorder="1" applyAlignment="1">
      <alignment horizontal="center" vertical="center"/>
    </xf>
    <xf numFmtId="0" fontId="9" fillId="13" borderId="1" xfId="0" applyFont="1" applyFill="1" applyBorder="1" applyAlignment="1">
      <alignment horizontal="center" vertical="center"/>
    </xf>
    <xf numFmtId="0" fontId="18" fillId="13" borderId="1" xfId="0" applyFont="1" applyFill="1" applyBorder="1" applyAlignment="1">
      <alignment horizontal="center" vertical="center"/>
    </xf>
    <xf numFmtId="0" fontId="18" fillId="12" borderId="11" xfId="0" applyFont="1" applyFill="1" applyBorder="1" applyAlignment="1">
      <alignment horizontal="center" vertical="center"/>
    </xf>
    <xf numFmtId="0" fontId="3" fillId="0" borderId="0" xfId="0" applyFont="1" applyAlignment="1">
      <alignment horizontal="right" vertical="center"/>
    </xf>
    <xf numFmtId="0" fontId="9" fillId="13" borderId="8" xfId="0" applyFont="1" applyFill="1" applyBorder="1" applyAlignment="1">
      <alignment horizontal="center" vertical="center"/>
    </xf>
    <xf numFmtId="0" fontId="3" fillId="0" borderId="1" xfId="0" applyFont="1" applyBorder="1" applyAlignment="1">
      <alignment horizontal="center" vertical="center"/>
    </xf>
    <xf numFmtId="0" fontId="19" fillId="3" borderId="0" xfId="0" applyFont="1" applyFill="1"/>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0" borderId="0" xfId="0" applyFont="1" applyAlignment="1">
      <alignment horizontal="right" vertical="center"/>
    </xf>
    <xf numFmtId="0" fontId="5" fillId="0" borderId="10" xfId="0" applyFont="1" applyBorder="1" applyAlignment="1">
      <alignment horizontal="right" vertical="center"/>
    </xf>
    <xf numFmtId="0" fontId="0" fillId="6" borderId="0" xfId="0" applyFill="1" applyAlignment="1">
      <alignment horizontal="left" vertical="center" wrapText="1"/>
    </xf>
    <xf numFmtId="0" fontId="0" fillId="7" borderId="0" xfId="0" applyFill="1" applyAlignment="1">
      <alignment horizontal="left" vertical="center" wrapText="1"/>
    </xf>
    <xf numFmtId="0" fontId="0" fillId="9" borderId="0" xfId="0" applyFill="1" applyAlignment="1">
      <alignment horizontal="left" vertical="center" wrapText="1"/>
    </xf>
    <xf numFmtId="0" fontId="0" fillId="8" borderId="0" xfId="0" applyFill="1" applyAlignment="1">
      <alignment horizontal="left" vertical="center"/>
    </xf>
  </cellXfs>
  <cellStyles count="2">
    <cellStyle name="Normal" xfId="0" builtinId="0"/>
    <cellStyle name="Normal 2" xfId="1" xr:uid="{1D2920D6-368C-4998-A5BA-81F80471B091}"/>
  </cellStyles>
  <dxfs count="20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yy"/>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theme="3" tint="0.499984740745262"/>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yy"/>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theme="3" tint="0.499984740745262"/>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yy"/>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theme="3" tint="0.499984740745262"/>
        </patternFill>
      </fil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mm"/>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theme="3" tint="0.499984740745262"/>
        </patternFill>
      </fil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3" tint="0.49998474074526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27" formatCode="dd/mm/yyyy\ h:mm"/>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499984740745262"/>
        </patternFill>
      </fill>
      <alignment horizontal="center" vertical="center" textRotation="0" wrapText="1" indent="0" justifyLastLine="0" shrinkToFit="0" readingOrder="0"/>
    </dxf>
    <dxf>
      <font>
        <b val="0"/>
      </font>
    </dxf>
    <dxf>
      <font>
        <b val="0"/>
      </font>
    </dxf>
    <dxf>
      <border outline="0">
        <left style="thin">
          <color auto="1"/>
        </left>
        <top style="thin">
          <color auto="1"/>
        </top>
      </border>
    </dxf>
    <dxf>
      <border outline="0">
        <bottom style="thin">
          <color auto="1"/>
        </bottom>
      </border>
    </dxf>
    <dxf>
      <font>
        <b/>
        <i val="0"/>
        <strike val="0"/>
        <condense val="0"/>
        <extend val="0"/>
        <outline val="0"/>
        <shadow val="0"/>
        <u val="none"/>
        <vertAlign val="baseline"/>
        <sz val="12"/>
        <color rgb="FFFFFFFF"/>
        <name val="Calibri"/>
        <family val="2"/>
        <charset val="1"/>
        <scheme val="none"/>
      </font>
      <numFmt numFmtId="2" formatCode="0.00"/>
      <fill>
        <patternFill patternType="solid">
          <fgColor theme="4"/>
          <bgColor theme="4"/>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rgb="FF000000"/>
        <name val="Calibri"/>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2"/>
        <color rgb="FF000000"/>
        <name val="Calibri"/>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font>
        <b/>
        <sz val="12"/>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2"/>
        <color rgb="FFFFFFFF"/>
        <name val="Calibri"/>
        <scheme val="none"/>
      </font>
      <numFmt numFmtId="2" formatCode="0.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165" formatCode="[$-F800]dddd\,\ mmmm\ dd\,\ yyyy"/>
      <fill>
        <patternFill patternType="none">
          <fgColor indexed="64"/>
          <bgColor auto="1"/>
        </patternFill>
      </fill>
    </dxf>
    <dxf>
      <numFmt numFmtId="0" formatCode="General"/>
      <fill>
        <patternFill patternType="none">
          <fgColor indexed="64"/>
          <bgColor auto="1"/>
        </patternFill>
      </fill>
      <border outline="0">
        <right style="thin">
          <color auto="1"/>
        </right>
      </border>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none">
          <fgColor indexed="64"/>
          <bgColor auto="1"/>
        </patternFill>
      </fill>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numFmt numFmtId="0" formatCode="General"/>
      <fill>
        <patternFill patternType="none">
          <fgColor indexed="64"/>
          <bgColor auto="1"/>
        </patternFill>
      </fill>
    </dxf>
    <dxf>
      <border outline="0">
        <top style="thin">
          <color auto="1"/>
        </top>
      </border>
    </dxf>
    <dxf>
      <border outline="0">
        <left style="thin">
          <color auto="1"/>
        </left>
        <right style="thin">
          <color auto="1"/>
        </right>
        <top style="thin">
          <color auto="1"/>
        </top>
        <bottom style="thin">
          <color auto="1"/>
        </bottom>
      </border>
    </dxf>
    <dxf>
      <numFmt numFmtId="0" formatCode="General"/>
      <fill>
        <patternFill patternType="none">
          <fgColor rgb="FF000000"/>
          <bgColor auto="1"/>
        </patternFill>
      </fill>
    </dxf>
    <dxf>
      <border outline="0">
        <bottom style="thin">
          <color auto="1"/>
        </bottom>
      </border>
    </dxf>
    <dxf>
      <font>
        <b/>
        <i val="0"/>
        <strike val="0"/>
        <condense val="0"/>
        <extend val="0"/>
        <outline val="0"/>
        <shadow val="0"/>
        <u val="none"/>
        <vertAlign val="baseline"/>
        <sz val="12"/>
        <color rgb="FFFFFFFF"/>
        <name val="Calibri"/>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rgb="FF000000"/>
        <name val="Calibri"/>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none">
          <fgColor indexed="64"/>
          <bgColor auto="1"/>
        </patternFill>
      </fill>
    </dxf>
    <dxf>
      <font>
        <b val="0"/>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2"/>
        <color rgb="FF000000"/>
        <name val="Calibri"/>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numFmt numFmtId="0" formatCode="General"/>
      <fill>
        <patternFill patternType="none">
          <fgColor indexed="64"/>
          <bgColor auto="1"/>
        </patternFill>
      </fill>
    </dxf>
    <dxf>
      <border outline="0">
        <top style="thin">
          <color auto="1"/>
        </top>
      </border>
    </dxf>
    <dxf>
      <border outline="0">
        <left style="thin">
          <color auto="1"/>
        </left>
        <right style="thin">
          <color auto="1"/>
        </right>
        <top style="thin">
          <color auto="1"/>
        </top>
        <bottom style="thin">
          <color auto="1"/>
        </bottom>
      </border>
    </dxf>
    <dxf>
      <numFmt numFmtId="0" formatCode="General"/>
      <fill>
        <patternFill patternType="none">
          <fgColor rgb="FF000000"/>
          <bgColor auto="1"/>
        </patternFill>
      </fill>
    </dxf>
    <dxf>
      <border outline="0">
        <bottom style="thin">
          <color auto="1"/>
        </bottom>
      </border>
    </dxf>
    <dxf>
      <font>
        <b/>
        <i val="0"/>
        <strike val="0"/>
        <condense val="0"/>
        <extend val="0"/>
        <outline val="0"/>
        <shadow val="0"/>
        <u val="none"/>
        <vertAlign val="baseline"/>
        <sz val="12"/>
        <color rgb="FFFFFFFF"/>
        <name val="Calibri"/>
        <scheme val="none"/>
      </font>
      <numFmt numFmtId="2" formatCode="0.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134" displayName="Tabla134" ref="A1:I11" totalsRowShown="0" headerRowDxfId="200" dataDxfId="198" headerRowBorderDxfId="199" tableBorderDxfId="197" totalsRowBorderDxfId="196">
  <autoFilter ref="A1:I11" xr:uid="{00000000-0009-0000-0100-000003000000}"/>
  <tableColumns count="9">
    <tableColumn id="1" xr3:uid="{00000000-0010-0000-0000-000001000000}" name="IIM ID" dataDxfId="195"/>
    <tableColumn id="13" xr3:uid="{00000000-0010-0000-0000-00000D000000}" name="PBC ID" dataDxfId="194"/>
    <tableColumn id="14" xr3:uid="{00000000-0010-0000-0000-00000E000000}" name="Tank ID" dataDxfId="193"/>
    <tableColumn id="2" xr3:uid="{00000000-0010-0000-0000-000002000000}" name="Species" dataDxfId="192"/>
    <tableColumn id="15" xr3:uid="{00000000-0010-0000-0000-00000F000000}" name="Sex" dataDxfId="191"/>
    <tableColumn id="10" xr3:uid="{00000000-0010-0000-0000-00000A000000}" name="Age (months)" dataDxfId="190"/>
    <tableColumn id="16" xr3:uid="{00000000-0010-0000-0000-000010000000}" name="Weight (Kg)" dataDxfId="189"/>
    <tableColumn id="18" xr3:uid="{00000000-0010-0000-0000-000012000000}" name="Tank ozonitacion" dataDxfId="188"/>
    <tableColumn id="17" xr3:uid="{00000000-0010-0000-0000-000011000000}" name="Other information" dataDxfId="1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A1:F81" totalsRowShown="0" headerRowDxfId="186" dataDxfId="184" headerRowBorderDxfId="185" tableBorderDxfId="183" totalsRowBorderDxfId="182">
  <autoFilter ref="A1:F81" xr:uid="{00000000-0009-0000-0100-000002000000}"/>
  <tableColumns count="6">
    <tableColumn id="1" xr3:uid="{00000000-0010-0000-0100-000001000000}" name="Tube ID" dataDxfId="181"/>
    <tableColumn id="12" xr3:uid="{00000000-0010-0000-0100-00000C000000}" name="Individual" dataDxfId="180"/>
    <tableColumn id="2" xr3:uid="{00000000-0010-0000-0100-000002000000}" name="Species" dataDxfId="179"/>
    <tableColumn id="10" xr3:uid="{00000000-0010-0000-0100-00000A000000}" name="Tissue" dataDxfId="178"/>
    <tableColumn id="3" xr3:uid="{00000000-0010-0000-0100-000003000000}" name="Swab nº" dataDxfId="177"/>
    <tableColumn id="4" xr3:uid="{00000000-0010-0000-0100-000004000000}" name="Sampling date" dataDxfId="1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a1" displayName="Tabla1" ref="A1:J81" totalsRowShown="0" headerRowDxfId="175" dataDxfId="173" headerRowBorderDxfId="174" tableBorderDxfId="172" totalsRowBorderDxfId="171">
  <autoFilter ref="A1:J81" xr:uid="{00000000-0009-0000-0100-000001000000}">
    <filterColumn colId="9">
      <filters>
        <filter val="SI"/>
      </filters>
    </filterColumn>
  </autoFilter>
  <sortState xmlns:xlrd2="http://schemas.microsoft.com/office/spreadsheetml/2017/richdata2" ref="A2:J81">
    <sortCondition ref="D2:D81" customList="Master Pure,PureLink,PowerFecal Pro,Powersoil"/>
  </sortState>
  <tableColumns count="10">
    <tableColumn id="1" xr3:uid="{00000000-0010-0000-0200-000001000000}" name="ID tubo" dataDxfId="170"/>
    <tableColumn id="2" xr3:uid="{00000000-0010-0000-0200-000002000000}" name="ID Novogene" dataDxfId="169"/>
    <tableColumn id="10" xr3:uid="{00000000-0010-0000-0200-00000A000000}" name="Fecha de extracción" dataDxfId="168"/>
    <tableColumn id="3" xr3:uid="{00000000-0010-0000-0200-000003000000}" name="Kit" dataDxfId="167"/>
    <tableColumn id="4" xr3:uid="{00000000-0010-0000-0200-000004000000}" name="Volumen  de elución (µL)" dataDxfId="166"/>
    <tableColumn id="5" xr3:uid="{00000000-0010-0000-0200-000005000000}" name="[ng/µL] Nanodrop" dataDxfId="165"/>
    <tableColumn id="6" xr3:uid="{00000000-0010-0000-0200-000006000000}" name="Ratio 260/280" dataDxfId="164"/>
    <tableColumn id="7" xr3:uid="{00000000-0010-0000-0200-000007000000}" name="Ratio 260/230" dataDxfId="163"/>
    <tableColumn id="8" xr3:uid="{00000000-0010-0000-0200-000008000000}" name="[ng/µL] QUBIT             ds DNA HS Assay kit" dataDxfId="162"/>
    <tableColumn id="9" xr3:uid="{00000000-0010-0000-0200-000009000000}" name="Secuenciar" dataDxfId="16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841F137-81CA-4BF8-99C5-867A8F82C184}" name="Tabla17" displayName="Tabla17" ref="A1:E46" totalsRowShown="0" headerRowDxfId="160" headerRowBorderDxfId="159" tableBorderDxfId="158">
  <autoFilter ref="A1:E46" xr:uid="{5841F137-81CA-4BF8-99C5-867A8F82C184}"/>
  <tableColumns count="5">
    <tableColumn id="1" xr3:uid="{7D3206D0-8B14-4CD6-8EAA-895F2F55F7C3}" name="ID tubo"/>
    <tableColumn id="2" xr3:uid="{C37BD582-F63C-4947-AE48-969C751C53F9}" name="ID Novogene"/>
    <tableColumn id="11" xr3:uid="{4622D35B-8E45-4A40-A72E-6EFBB76C8040}" name="Especie" dataDxfId="157"/>
    <tableColumn id="12" xr3:uid="{25382292-2D81-43AE-895D-5E1EB1902E32}" name="Tejido" dataDxfId="156"/>
    <tableColumn id="4" xr3:uid="{CE7703F3-D758-4388-BE38-36C9B0E86B06}" name="K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A1:J5" totalsRowShown="0" headerRowDxfId="155" dataDxfId="154">
  <autoFilter ref="A1:J5" xr:uid="{00000000-0009-0000-0100-000004000000}"/>
  <tableColumns count="10">
    <tableColumn id="1" xr3:uid="{00000000-0010-0000-0300-000001000000}" name="Fecha" dataDxfId="153"/>
    <tableColumn id="2" xr3:uid="{00000000-0010-0000-0300-000002000000}" name="Nombre de muestra" dataDxfId="152"/>
    <tableColumn id="3" xr3:uid="{00000000-0010-0000-0300-000003000000}" name="Ácido nucleico(ng/µL)" dataDxfId="151"/>
    <tableColumn id="4" xr3:uid="{00000000-0010-0000-0300-000004000000}" name="A260/A280" dataDxfId="150"/>
    <tableColumn id="5" xr3:uid="{00000000-0010-0000-0300-000005000000}" name="A260/A230" dataDxfId="149"/>
    <tableColumn id="6" xr3:uid="{00000000-0010-0000-0300-000006000000}" name="A260" dataDxfId="148"/>
    <tableColumn id="7" xr3:uid="{00000000-0010-0000-0300-000007000000}" name="A280" dataDxfId="147"/>
    <tableColumn id="8" xr3:uid="{00000000-0010-0000-0300-000008000000}" name="Factor de ácido nucleico" dataDxfId="146"/>
    <tableColumn id="9" xr3:uid="{00000000-0010-0000-0300-000009000000}" name="Corrección de línea base (nm)" dataDxfId="145"/>
    <tableColumn id="10" xr3:uid="{00000000-0010-0000-0300-00000A000000}" name="Absorbancia de línea base" dataDxfId="14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A7:J15" totalsRowShown="0" headerRowDxfId="143" dataDxfId="142">
  <autoFilter ref="A7:J15" xr:uid="{00000000-0009-0000-0100-000005000000}"/>
  <tableColumns count="10">
    <tableColumn id="1" xr3:uid="{00000000-0010-0000-0400-000001000000}" name="Fecha" dataDxfId="141"/>
    <tableColumn id="2" xr3:uid="{00000000-0010-0000-0400-000002000000}" name="Nombre de muestra" dataDxfId="140"/>
    <tableColumn id="3" xr3:uid="{00000000-0010-0000-0400-000003000000}" name="Ácido nucleico(ng/uL)" dataDxfId="139"/>
    <tableColumn id="4" xr3:uid="{00000000-0010-0000-0400-000004000000}" name="A260/A280" dataDxfId="138"/>
    <tableColumn id="5" xr3:uid="{00000000-0010-0000-0400-000005000000}" name="A260/A230" dataDxfId="137"/>
    <tableColumn id="6" xr3:uid="{00000000-0010-0000-0400-000006000000}" name="A260" dataDxfId="136"/>
    <tableColumn id="7" xr3:uid="{00000000-0010-0000-0400-000007000000}" name="A280" dataDxfId="135"/>
    <tableColumn id="8" xr3:uid="{00000000-0010-0000-0400-000008000000}" name="Factor de ácido nucleico" dataDxfId="134"/>
    <tableColumn id="9" xr3:uid="{00000000-0010-0000-0400-000009000000}" name="Corrección de línea base (nm)" dataDxfId="133"/>
    <tableColumn id="10" xr3:uid="{00000000-0010-0000-0400-00000A000000}" name="Absorbancia de línea base" dataDxfId="1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A17:J26" totalsRowShown="0" headerRowDxfId="131" dataDxfId="130">
  <autoFilter ref="A17:J26" xr:uid="{00000000-0009-0000-0100-000006000000}"/>
  <tableColumns count="10">
    <tableColumn id="1" xr3:uid="{00000000-0010-0000-0500-000001000000}" name="Fecha" dataDxfId="129"/>
    <tableColumn id="2" xr3:uid="{00000000-0010-0000-0500-000002000000}" name="Nombre de muestra" dataDxfId="128"/>
    <tableColumn id="3" xr3:uid="{00000000-0010-0000-0500-000003000000}" name="Ácido nucleico(ng/uL)" dataDxfId="127"/>
    <tableColumn id="4" xr3:uid="{00000000-0010-0000-0500-000004000000}" name="A260/A280" dataDxfId="126"/>
    <tableColumn id="5" xr3:uid="{00000000-0010-0000-0500-000005000000}" name="A260/A230" dataDxfId="125"/>
    <tableColumn id="6" xr3:uid="{00000000-0010-0000-0500-000006000000}" name="A260" dataDxfId="124"/>
    <tableColumn id="7" xr3:uid="{00000000-0010-0000-0500-000007000000}" name="A280" dataDxfId="123"/>
    <tableColumn id="8" xr3:uid="{00000000-0010-0000-0500-000008000000}" name="Factor de ácido nucleico" dataDxfId="122"/>
    <tableColumn id="9" xr3:uid="{00000000-0010-0000-0500-000009000000}" name="Corrección de línea base (nm)" dataDxfId="121"/>
    <tableColumn id="10" xr3:uid="{00000000-0010-0000-0500-00000A000000}" name="Absorbancia de línea base"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A28:J32" totalsRowShown="0" headerRowDxfId="119" dataDxfId="118">
  <autoFilter ref="A28:J32" xr:uid="{00000000-0009-0000-0100-000007000000}"/>
  <tableColumns count="10">
    <tableColumn id="1" xr3:uid="{00000000-0010-0000-0600-000001000000}" name="Fecha" dataDxfId="117"/>
    <tableColumn id="2" xr3:uid="{00000000-0010-0000-0600-000002000000}" name="Nombre de muestra" dataDxfId="116"/>
    <tableColumn id="3" xr3:uid="{00000000-0010-0000-0600-000003000000}" name="Ácido nucleico(ng/uL)" dataDxfId="115"/>
    <tableColumn id="4" xr3:uid="{00000000-0010-0000-0600-000004000000}" name="A260/A280" dataDxfId="114"/>
    <tableColumn id="5" xr3:uid="{00000000-0010-0000-0600-000005000000}" name="A260/A230" dataDxfId="113"/>
    <tableColumn id="6" xr3:uid="{00000000-0010-0000-0600-000006000000}" name="A260" dataDxfId="112"/>
    <tableColumn id="7" xr3:uid="{00000000-0010-0000-0600-000007000000}" name="A280" dataDxfId="111"/>
    <tableColumn id="8" xr3:uid="{00000000-0010-0000-0600-000008000000}" name="Factor de ácido nucleico" dataDxfId="110"/>
    <tableColumn id="9" xr3:uid="{00000000-0010-0000-0600-000009000000}" name="Corrección de línea base (nm)" dataDxfId="109"/>
    <tableColumn id="10" xr3:uid="{00000000-0010-0000-0600-00000A000000}" name="Absorbancia de línea base" dataDxfId="10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8" displayName="Tabla8" ref="A34:J38" totalsRowShown="0" headerRowDxfId="107" dataDxfId="106">
  <autoFilter ref="A34:J38" xr:uid="{00000000-0009-0000-0100-000008000000}"/>
  <tableColumns count="10">
    <tableColumn id="1" xr3:uid="{00000000-0010-0000-0700-000001000000}" name="Fecha" dataDxfId="105"/>
    <tableColumn id="2" xr3:uid="{00000000-0010-0000-0700-000002000000}" name="Nombre de muestra" dataDxfId="104"/>
    <tableColumn id="3" xr3:uid="{00000000-0010-0000-0700-000003000000}" name="Ácido nucleico(ng/uL)" dataDxfId="103"/>
    <tableColumn id="4" xr3:uid="{00000000-0010-0000-0700-000004000000}" name="A260/A280" dataDxfId="102"/>
    <tableColumn id="5" xr3:uid="{00000000-0010-0000-0700-000005000000}" name="A260/A230" dataDxfId="101"/>
    <tableColumn id="6" xr3:uid="{00000000-0010-0000-0700-000006000000}" name="A260" dataDxfId="100"/>
    <tableColumn id="7" xr3:uid="{00000000-0010-0000-0700-000007000000}" name="A280" dataDxfId="99"/>
    <tableColumn id="8" xr3:uid="{00000000-0010-0000-0700-000008000000}" name="Factor de ácido nucleico" dataDxfId="98"/>
    <tableColumn id="9" xr3:uid="{00000000-0010-0000-0700-000009000000}" name="Corrección de línea base (nm)" dataDxfId="97"/>
    <tableColumn id="10" xr3:uid="{00000000-0010-0000-0700-00000A000000}" name="Absorbancia de línea base" dataDxfId="9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9" displayName="Tabla9" ref="A40:J44" totalsRowShown="0" headerRowDxfId="95" dataDxfId="94">
  <autoFilter ref="A40:J44" xr:uid="{00000000-0009-0000-0100-000009000000}"/>
  <tableColumns count="10">
    <tableColumn id="1" xr3:uid="{00000000-0010-0000-0800-000001000000}" name="Fecha" dataDxfId="93"/>
    <tableColumn id="2" xr3:uid="{00000000-0010-0000-0800-000002000000}" name="Nombre de muestra" dataDxfId="92"/>
    <tableColumn id="3" xr3:uid="{00000000-0010-0000-0800-000003000000}" name="Ácido nucleico(ng/uL)" dataDxfId="91"/>
    <tableColumn id="4" xr3:uid="{00000000-0010-0000-0800-000004000000}" name="A260/A280" dataDxfId="90"/>
    <tableColumn id="5" xr3:uid="{00000000-0010-0000-0800-000005000000}" name="A260/A230" dataDxfId="89"/>
    <tableColumn id="6" xr3:uid="{00000000-0010-0000-0800-000006000000}" name="A260" dataDxfId="88"/>
    <tableColumn id="7" xr3:uid="{00000000-0010-0000-0800-000007000000}" name="A280" dataDxfId="87"/>
    <tableColumn id="8" xr3:uid="{00000000-0010-0000-0800-000008000000}" name="Factor de ácido nucleico" dataDxfId="86"/>
    <tableColumn id="9" xr3:uid="{00000000-0010-0000-0800-000009000000}" name="Corrección de línea base (nm)" dataDxfId="85"/>
    <tableColumn id="10" xr3:uid="{00000000-0010-0000-0800-00000A000000}" name="Absorbancia de línea base" dataDxfId="8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10" displayName="Tabla10" ref="A46:J56" totalsRowShown="0" headerRowDxfId="83" dataDxfId="82">
  <autoFilter ref="A46:J56" xr:uid="{00000000-0009-0000-0100-00000A000000}"/>
  <tableColumns count="10">
    <tableColumn id="1" xr3:uid="{00000000-0010-0000-0900-000001000000}" name="Fecha" dataDxfId="81"/>
    <tableColumn id="2" xr3:uid="{00000000-0010-0000-0900-000002000000}" name="Nombre de muestra" dataDxfId="80"/>
    <tableColumn id="3" xr3:uid="{00000000-0010-0000-0900-000003000000}" name="Ácido nucleico(ng/uL)" dataDxfId="79"/>
    <tableColumn id="4" xr3:uid="{00000000-0010-0000-0900-000004000000}" name="A260/A280" dataDxfId="78"/>
    <tableColumn id="5" xr3:uid="{00000000-0010-0000-0900-000005000000}" name="A260/A230" dataDxfId="77"/>
    <tableColumn id="6" xr3:uid="{00000000-0010-0000-0900-000006000000}" name="A260" dataDxfId="76"/>
    <tableColumn id="7" xr3:uid="{00000000-0010-0000-0900-000007000000}" name="A280" dataDxfId="75"/>
    <tableColumn id="8" xr3:uid="{00000000-0010-0000-0900-000008000000}" name="Factor de ácido nucleico" dataDxfId="74"/>
    <tableColumn id="9" xr3:uid="{00000000-0010-0000-0900-000009000000}" name="Corrección de línea base (nm)" dataDxfId="73"/>
    <tableColumn id="10" xr3:uid="{00000000-0010-0000-0900-00000A000000}" name="Absorbancia de línea base" dataDxfId="7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11" displayName="Tabla11" ref="A58:J64" totalsRowShown="0" headerRowDxfId="71" dataDxfId="70">
  <autoFilter ref="A58:J64" xr:uid="{00000000-0009-0000-0100-00000B000000}"/>
  <tableColumns count="10">
    <tableColumn id="1" xr3:uid="{00000000-0010-0000-0A00-000001000000}" name="Fecha" dataDxfId="69"/>
    <tableColumn id="2" xr3:uid="{00000000-0010-0000-0A00-000002000000}" name="Nombre de muestra" dataDxfId="68"/>
    <tableColumn id="3" xr3:uid="{00000000-0010-0000-0A00-000003000000}" name="Ácido nucleico(ng/uL)" dataDxfId="67"/>
    <tableColumn id="4" xr3:uid="{00000000-0010-0000-0A00-000004000000}" name="A260/A280" dataDxfId="66"/>
    <tableColumn id="5" xr3:uid="{00000000-0010-0000-0A00-000005000000}" name="A260/A230" dataDxfId="65"/>
    <tableColumn id="6" xr3:uid="{00000000-0010-0000-0A00-000006000000}" name="A260" dataDxfId="64"/>
    <tableColumn id="7" xr3:uid="{00000000-0010-0000-0A00-000007000000}" name="A280" dataDxfId="63"/>
    <tableColumn id="8" xr3:uid="{00000000-0010-0000-0A00-000008000000}" name="Factor de ácido nucleico" dataDxfId="62"/>
    <tableColumn id="9" xr3:uid="{00000000-0010-0000-0A00-000009000000}" name="Corrección de línea base (nm)" dataDxfId="61"/>
    <tableColumn id="10" xr3:uid="{00000000-0010-0000-0A00-00000A000000}" name="Absorbancia de línea base" dataDxfId="6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a12" displayName="Tabla12" ref="A66:J74" totalsRowShown="0" headerRowDxfId="59" dataDxfId="58">
  <autoFilter ref="A66:J74" xr:uid="{00000000-0009-0000-0100-00000C000000}"/>
  <tableColumns count="10">
    <tableColumn id="1" xr3:uid="{00000000-0010-0000-0B00-000001000000}" name="Fecha" dataDxfId="57"/>
    <tableColumn id="2" xr3:uid="{00000000-0010-0000-0B00-000002000000}" name="Nombre de muestra" dataDxfId="56"/>
    <tableColumn id="3" xr3:uid="{00000000-0010-0000-0B00-000003000000}" name="Ácido nucleico(ng/uL)" dataDxfId="55"/>
    <tableColumn id="4" xr3:uid="{00000000-0010-0000-0B00-000004000000}" name="A260/A280" dataDxfId="54"/>
    <tableColumn id="5" xr3:uid="{00000000-0010-0000-0B00-000005000000}" name="A260/A230" dataDxfId="53"/>
    <tableColumn id="6" xr3:uid="{00000000-0010-0000-0B00-000006000000}" name="A260" dataDxfId="52"/>
    <tableColumn id="7" xr3:uid="{00000000-0010-0000-0B00-000007000000}" name="A280" dataDxfId="51"/>
    <tableColumn id="8" xr3:uid="{00000000-0010-0000-0B00-000008000000}" name="Factor de ácido nucleico" dataDxfId="50"/>
    <tableColumn id="9" xr3:uid="{00000000-0010-0000-0B00-000009000000}" name="Corrección de línea base (nm)" dataDxfId="49"/>
    <tableColumn id="10" xr3:uid="{00000000-0010-0000-0B00-00000A000000}" name="Absorbancia de línea base" dataDxfId="4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14" displayName="Tabla14" ref="A76:J84" totalsRowShown="0" headerRowDxfId="47" dataDxfId="46">
  <autoFilter ref="A76:J84" xr:uid="{00000000-0009-0000-0100-00000D000000}"/>
  <tableColumns count="10">
    <tableColumn id="1" xr3:uid="{00000000-0010-0000-0C00-000001000000}" name="Fecha" dataDxfId="45"/>
    <tableColumn id="2" xr3:uid="{00000000-0010-0000-0C00-000002000000}" name="Nombre de muestra" dataDxfId="44"/>
    <tableColumn id="3" xr3:uid="{00000000-0010-0000-0C00-000003000000}" name="Ácido nucleico(ng/uL)" dataDxfId="43"/>
    <tableColumn id="4" xr3:uid="{00000000-0010-0000-0C00-000004000000}" name="A260/A280" dataDxfId="42"/>
    <tableColumn id="5" xr3:uid="{00000000-0010-0000-0C00-000005000000}" name="A260/A230" dataDxfId="41"/>
    <tableColumn id="6" xr3:uid="{00000000-0010-0000-0C00-000006000000}" name="A260" dataDxfId="40"/>
    <tableColumn id="7" xr3:uid="{00000000-0010-0000-0C00-000007000000}" name="A280" dataDxfId="39"/>
    <tableColumn id="8" xr3:uid="{00000000-0010-0000-0C00-000008000000}" name="Factor de ácido nucleico" dataDxfId="38"/>
    <tableColumn id="9" xr3:uid="{00000000-0010-0000-0C00-000009000000}" name="Corrección de línea base (nm)" dataDxfId="37"/>
    <tableColumn id="10" xr3:uid="{00000000-0010-0000-0C00-00000A000000}" name="Absorbancia de línea base" dataDxfId="3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a15" displayName="Tabla15" ref="A86:J90" totalsRowShown="0" headerRowDxfId="35" dataDxfId="34">
  <autoFilter ref="A86:J90" xr:uid="{00000000-0009-0000-0100-00000E000000}"/>
  <tableColumns count="10">
    <tableColumn id="1" xr3:uid="{00000000-0010-0000-0D00-000001000000}" name="Fecha" dataDxfId="33"/>
    <tableColumn id="2" xr3:uid="{00000000-0010-0000-0D00-000002000000}" name="Nombre de muestra" dataDxfId="32"/>
    <tableColumn id="3" xr3:uid="{00000000-0010-0000-0D00-000003000000}" name="Ácido nucleico(ng/uL)" dataDxfId="31"/>
    <tableColumn id="4" xr3:uid="{00000000-0010-0000-0D00-000004000000}" name="A260/A280" dataDxfId="30"/>
    <tableColumn id="5" xr3:uid="{00000000-0010-0000-0D00-000005000000}" name="A260/A230" dataDxfId="29"/>
    <tableColumn id="6" xr3:uid="{00000000-0010-0000-0D00-000006000000}" name="A260" dataDxfId="28"/>
    <tableColumn id="7" xr3:uid="{00000000-0010-0000-0D00-000007000000}" name="A280" dataDxfId="27"/>
    <tableColumn id="8" xr3:uid="{00000000-0010-0000-0D00-000008000000}" name="Factor de ácido nucleico" dataDxfId="26"/>
    <tableColumn id="9" xr3:uid="{00000000-0010-0000-0D00-000009000000}" name="Corrección de línea base (nm)" dataDxfId="25"/>
    <tableColumn id="10" xr3:uid="{00000000-0010-0000-0D00-00000A000000}" name="Absorbancia de línea base" dataDxfId="2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a16" displayName="Tabla16" ref="A92:J103" totalsRowShown="0" headerRowDxfId="23" dataDxfId="22">
  <autoFilter ref="A92:J103" xr:uid="{00000000-0009-0000-0100-00000F000000}"/>
  <tableColumns count="10">
    <tableColumn id="1" xr3:uid="{00000000-0010-0000-0E00-000001000000}" name="Fecha" dataDxfId="21"/>
    <tableColumn id="2" xr3:uid="{00000000-0010-0000-0E00-000002000000}" name="Nombre de muestra" dataDxfId="20"/>
    <tableColumn id="3" xr3:uid="{00000000-0010-0000-0E00-000003000000}" name="Ácido nucleico(ng/uL)" dataDxfId="19"/>
    <tableColumn id="4" xr3:uid="{00000000-0010-0000-0E00-000004000000}" name="A260/A280" dataDxfId="18"/>
    <tableColumn id="5" xr3:uid="{00000000-0010-0000-0E00-000005000000}" name="A260/A230" dataDxfId="17"/>
    <tableColumn id="6" xr3:uid="{00000000-0010-0000-0E00-000006000000}" name="A260" dataDxfId="16"/>
    <tableColumn id="7" xr3:uid="{00000000-0010-0000-0E00-000007000000}" name="A280" dataDxfId="15"/>
    <tableColumn id="8" xr3:uid="{00000000-0010-0000-0E00-000008000000}" name="Factor de ácido nucleico" dataDxfId="14"/>
    <tableColumn id="9" xr3:uid="{00000000-0010-0000-0E00-000009000000}" name="Corrección de línea base (nm)" dataDxfId="13"/>
    <tableColumn id="10" xr3:uid="{00000000-0010-0000-0E00-00000A000000}" name="Absorbancia de línea base" dataDxfId="1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a117" displayName="Tabla117" ref="A105:J113" totalsRowShown="0" headerRowDxfId="11" dataDxfId="10">
  <autoFilter ref="A105:J113" xr:uid="{00000000-0009-0000-0100-000010000000}"/>
  <tableColumns count="10">
    <tableColumn id="1" xr3:uid="{00000000-0010-0000-0F00-000001000000}" name="Fecha" dataDxfId="9"/>
    <tableColumn id="2" xr3:uid="{00000000-0010-0000-0F00-000002000000}" name="Nombre de muestra" dataDxfId="8"/>
    <tableColumn id="3" xr3:uid="{00000000-0010-0000-0F00-000003000000}" name="Ácido nucleico(ng/uL)" dataDxfId="7"/>
    <tableColumn id="4" xr3:uid="{00000000-0010-0000-0F00-000004000000}" name="A260/A280" dataDxfId="6"/>
    <tableColumn id="5" xr3:uid="{00000000-0010-0000-0F00-000005000000}" name="A260/A230" dataDxfId="5"/>
    <tableColumn id="6" xr3:uid="{00000000-0010-0000-0F00-000006000000}" name="A260" dataDxfId="4"/>
    <tableColumn id="7" xr3:uid="{00000000-0010-0000-0F00-000007000000}" name="A280" dataDxfId="3"/>
    <tableColumn id="8" xr3:uid="{00000000-0010-0000-0F00-000008000000}" name="Factor de ácido nucleico" dataDxfId="2"/>
    <tableColumn id="9" xr3:uid="{00000000-0010-0000-0F00-000009000000}" name="Corrección de línea base (nm)" dataDxfId="1"/>
    <tableColumn id="10" xr3:uid="{00000000-0010-0000-0F00-00000A000000}" name="Absorbancia de línea base"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5.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pageSetUpPr fitToPage="1"/>
  </sheetPr>
  <dimension ref="A1:M11"/>
  <sheetViews>
    <sheetView zoomScale="115" zoomScaleNormal="115" workbookViewId="0">
      <pane ySplit="1" topLeftCell="A2" activePane="bottomLeft" state="frozen"/>
      <selection pane="bottomLeft" activeCell="J12" sqref="J12"/>
    </sheetView>
  </sheetViews>
  <sheetFormatPr baseColWidth="10" defaultColWidth="11.28515625" defaultRowHeight="20.100000000000001" customHeight="1" x14ac:dyDescent="0.25"/>
  <cols>
    <col min="1" max="1" width="11.28515625" style="7" bestFit="1" customWidth="1"/>
    <col min="2" max="2" width="11.85546875" style="7" bestFit="1" customWidth="1"/>
    <col min="3" max="3" width="15.42578125" style="2" bestFit="1" customWidth="1"/>
    <col min="4" max="4" width="23" style="2" bestFit="1" customWidth="1"/>
    <col min="5" max="5" width="10.140625" style="2" bestFit="1" customWidth="1"/>
    <col min="6" max="6" width="11.28515625" customWidth="1"/>
    <col min="7" max="7" width="11.7109375" style="2" customWidth="1"/>
    <col min="8" max="8" width="15.5703125" style="2" bestFit="1" customWidth="1"/>
    <col min="9" max="10" width="32.85546875" style="2" bestFit="1" customWidth="1"/>
    <col min="11" max="16384" width="11.28515625" style="2"/>
  </cols>
  <sheetData>
    <row r="1" spans="1:13" ht="36" customHeight="1" x14ac:dyDescent="0.25">
      <c r="A1" s="16" t="s">
        <v>327</v>
      </c>
      <c r="B1" s="16" t="s">
        <v>328</v>
      </c>
      <c r="C1" s="17" t="s">
        <v>319</v>
      </c>
      <c r="D1" s="17" t="s">
        <v>330</v>
      </c>
      <c r="E1" s="17" t="s">
        <v>331</v>
      </c>
      <c r="F1" s="17" t="s">
        <v>320</v>
      </c>
      <c r="G1" s="17" t="s">
        <v>321</v>
      </c>
      <c r="H1" s="17" t="s">
        <v>325</v>
      </c>
      <c r="I1" s="17" t="s">
        <v>326</v>
      </c>
    </row>
    <row r="2" spans="1:13" ht="20.100000000000001" customHeight="1" x14ac:dyDescent="0.25">
      <c r="A2" s="21" t="s">
        <v>27</v>
      </c>
      <c r="B2" s="22"/>
      <c r="C2" s="24" t="s">
        <v>40</v>
      </c>
      <c r="D2" s="23" t="s">
        <v>32</v>
      </c>
      <c r="E2" s="24" t="s">
        <v>322</v>
      </c>
      <c r="F2" s="11">
        <v>24</v>
      </c>
      <c r="G2" s="12">
        <v>3</v>
      </c>
      <c r="H2" s="11" t="s">
        <v>121</v>
      </c>
      <c r="I2" s="11" t="s">
        <v>329</v>
      </c>
    </row>
    <row r="3" spans="1:13" ht="20.100000000000001" customHeight="1" x14ac:dyDescent="0.25">
      <c r="A3" s="21" t="s">
        <v>28</v>
      </c>
      <c r="B3" s="22"/>
      <c r="C3" s="24" t="s">
        <v>40</v>
      </c>
      <c r="D3" s="23" t="s">
        <v>32</v>
      </c>
      <c r="E3" s="24" t="s">
        <v>322</v>
      </c>
      <c r="F3" s="11">
        <v>24</v>
      </c>
      <c r="G3" s="12">
        <v>3</v>
      </c>
      <c r="H3" s="11" t="s">
        <v>121</v>
      </c>
      <c r="I3" s="11" t="s">
        <v>329</v>
      </c>
      <c r="M3" s="68"/>
    </row>
    <row r="4" spans="1:13" ht="20.100000000000001" customHeight="1" x14ac:dyDescent="0.25">
      <c r="A4" s="21" t="s">
        <v>29</v>
      </c>
      <c r="B4" s="22"/>
      <c r="C4" s="24" t="s">
        <v>40</v>
      </c>
      <c r="D4" s="23" t="s">
        <v>32</v>
      </c>
      <c r="E4" s="24" t="s">
        <v>323</v>
      </c>
      <c r="F4" s="11">
        <v>24</v>
      </c>
      <c r="G4" s="12">
        <v>3</v>
      </c>
      <c r="H4" s="11" t="s">
        <v>121</v>
      </c>
      <c r="I4" s="11" t="s">
        <v>329</v>
      </c>
    </row>
    <row r="5" spans="1:13" ht="20.100000000000001" customHeight="1" x14ac:dyDescent="0.25">
      <c r="A5" s="21" t="s">
        <v>30</v>
      </c>
      <c r="B5" s="22"/>
      <c r="C5" s="24" t="s">
        <v>40</v>
      </c>
      <c r="D5" s="23" t="s">
        <v>32</v>
      </c>
      <c r="E5" s="24" t="s">
        <v>322</v>
      </c>
      <c r="F5" s="11">
        <v>24</v>
      </c>
      <c r="G5" s="12">
        <v>3</v>
      </c>
      <c r="H5" s="11" t="s">
        <v>121</v>
      </c>
      <c r="I5" s="11" t="s">
        <v>329</v>
      </c>
    </row>
    <row r="6" spans="1:13" ht="20.100000000000001" customHeight="1" x14ac:dyDescent="0.25">
      <c r="A6" s="21" t="s">
        <v>31</v>
      </c>
      <c r="B6" s="22"/>
      <c r="C6" s="24" t="s">
        <v>40</v>
      </c>
      <c r="D6" s="23" t="s">
        <v>32</v>
      </c>
      <c r="E6" s="24" t="s">
        <v>323</v>
      </c>
      <c r="F6" s="11">
        <v>24</v>
      </c>
      <c r="G6" s="12">
        <v>3</v>
      </c>
      <c r="H6" s="11" t="s">
        <v>121</v>
      </c>
      <c r="I6" s="11" t="s">
        <v>329</v>
      </c>
    </row>
    <row r="7" spans="1:13" ht="20.100000000000001" customHeight="1" x14ac:dyDescent="0.25">
      <c r="A7" s="21" t="s">
        <v>33</v>
      </c>
      <c r="B7" s="22">
        <v>7046</v>
      </c>
      <c r="C7" s="24" t="s">
        <v>41</v>
      </c>
      <c r="D7" s="23" t="s">
        <v>38</v>
      </c>
      <c r="E7" s="24" t="s">
        <v>323</v>
      </c>
      <c r="F7" s="11"/>
      <c r="G7" s="12"/>
      <c r="H7" s="11" t="s">
        <v>324</v>
      </c>
      <c r="I7" s="11"/>
    </row>
    <row r="8" spans="1:13" ht="20.100000000000001" customHeight="1" x14ac:dyDescent="0.25">
      <c r="A8" s="21" t="s">
        <v>34</v>
      </c>
      <c r="B8" s="22">
        <v>7062</v>
      </c>
      <c r="C8" s="24" t="s">
        <v>41</v>
      </c>
      <c r="D8" s="23" t="s">
        <v>38</v>
      </c>
      <c r="E8" s="24" t="s">
        <v>323</v>
      </c>
      <c r="F8" s="11"/>
      <c r="G8" s="12"/>
      <c r="H8" s="11" t="s">
        <v>324</v>
      </c>
      <c r="I8" s="11"/>
    </row>
    <row r="9" spans="1:13" ht="20.100000000000001" customHeight="1" x14ac:dyDescent="0.25">
      <c r="A9" s="21" t="s">
        <v>35</v>
      </c>
      <c r="B9" s="22">
        <v>6786</v>
      </c>
      <c r="C9" s="24" t="s">
        <v>41</v>
      </c>
      <c r="D9" s="23" t="s">
        <v>38</v>
      </c>
      <c r="E9" s="24" t="s">
        <v>323</v>
      </c>
      <c r="F9" s="11"/>
      <c r="G9" s="12"/>
      <c r="H9" s="11" t="s">
        <v>324</v>
      </c>
      <c r="I9" s="11"/>
    </row>
    <row r="10" spans="1:13" ht="20.100000000000001" customHeight="1" x14ac:dyDescent="0.25">
      <c r="A10" s="21" t="s">
        <v>36</v>
      </c>
      <c r="B10" s="22">
        <v>6746</v>
      </c>
      <c r="C10" s="24" t="s">
        <v>41</v>
      </c>
      <c r="D10" s="23" t="s">
        <v>38</v>
      </c>
      <c r="E10" s="24" t="s">
        <v>322</v>
      </c>
      <c r="F10" s="11"/>
      <c r="G10" s="12"/>
      <c r="H10" s="11" t="s">
        <v>324</v>
      </c>
      <c r="I10" s="11"/>
    </row>
    <row r="11" spans="1:13" ht="20.100000000000001" customHeight="1" x14ac:dyDescent="0.25">
      <c r="A11" s="21" t="s">
        <v>37</v>
      </c>
      <c r="B11" s="22">
        <v>6918</v>
      </c>
      <c r="C11" s="24" t="s">
        <v>41</v>
      </c>
      <c r="D11" s="23" t="s">
        <v>38</v>
      </c>
      <c r="E11" s="24" t="s">
        <v>322</v>
      </c>
      <c r="F11" s="11"/>
      <c r="G11" s="12"/>
      <c r="H11" s="11" t="s">
        <v>324</v>
      </c>
      <c r="I11" s="11"/>
    </row>
  </sheetData>
  <phoneticPr fontId="7" type="noConversion"/>
  <pageMargins left="0.7" right="0.7" top="0.75" bottom="0.75" header="0.511811023622047" footer="0.511811023622047"/>
  <pageSetup paperSize="9" scale="66" orientation="portrait"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F81"/>
  <sheetViews>
    <sheetView tabSelected="1" zoomScale="115" zoomScaleNormal="115" workbookViewId="0">
      <pane ySplit="1" topLeftCell="A2" activePane="bottomLeft" state="frozen"/>
      <selection pane="bottomLeft" activeCell="I10" sqref="I10"/>
    </sheetView>
  </sheetViews>
  <sheetFormatPr baseColWidth="10" defaultColWidth="11.28515625" defaultRowHeight="20.100000000000001" customHeight="1" x14ac:dyDescent="0.25"/>
  <cols>
    <col min="1" max="1" width="12.85546875" style="7" bestFit="1" customWidth="1"/>
    <col min="2" max="2" width="12.85546875" style="6" customWidth="1"/>
    <col min="3" max="3" width="12.7109375" style="2" bestFit="1" customWidth="1"/>
    <col min="4" max="4" width="16" style="2" customWidth="1"/>
    <col min="5" max="5" width="13.28515625" style="2" customWidth="1"/>
    <col min="6" max="6" width="20.7109375" style="2" customWidth="1"/>
    <col min="7" max="16384" width="11.28515625" style="2"/>
  </cols>
  <sheetData>
    <row r="1" spans="1:6" ht="36" customHeight="1" x14ac:dyDescent="0.25">
      <c r="A1" s="16" t="s">
        <v>318</v>
      </c>
      <c r="B1" s="25" t="s">
        <v>332</v>
      </c>
      <c r="C1" s="17" t="s">
        <v>330</v>
      </c>
      <c r="D1" s="17" t="s">
        <v>333</v>
      </c>
      <c r="E1" s="17" t="s">
        <v>334</v>
      </c>
      <c r="F1" s="17" t="s">
        <v>335</v>
      </c>
    </row>
    <row r="2" spans="1:6" ht="20.100000000000001" customHeight="1" x14ac:dyDescent="0.25">
      <c r="A2" s="21" t="s">
        <v>20</v>
      </c>
      <c r="B2" s="22">
        <v>1</v>
      </c>
      <c r="C2" s="11" t="s">
        <v>26</v>
      </c>
      <c r="D2" s="11" t="s">
        <v>120</v>
      </c>
      <c r="E2" s="11">
        <v>2</v>
      </c>
      <c r="F2" s="10">
        <v>45966</v>
      </c>
    </row>
    <row r="3" spans="1:6" ht="20.100000000000001" customHeight="1" x14ac:dyDescent="0.25">
      <c r="A3" s="21" t="s">
        <v>21</v>
      </c>
      <c r="B3" s="22">
        <v>1</v>
      </c>
      <c r="C3" s="11" t="s">
        <v>26</v>
      </c>
      <c r="D3" s="11" t="s">
        <v>120</v>
      </c>
      <c r="E3" s="11">
        <v>2</v>
      </c>
      <c r="F3" s="10">
        <v>45966</v>
      </c>
    </row>
    <row r="4" spans="1:6" ht="20.100000000000001" customHeight="1" x14ac:dyDescent="0.25">
      <c r="A4" s="21" t="s">
        <v>22</v>
      </c>
      <c r="B4" s="22">
        <v>1</v>
      </c>
      <c r="C4" s="11" t="s">
        <v>26</v>
      </c>
      <c r="D4" s="11" t="s">
        <v>120</v>
      </c>
      <c r="E4" s="11">
        <v>2</v>
      </c>
      <c r="F4" s="10">
        <v>45966</v>
      </c>
    </row>
    <row r="5" spans="1:6" ht="20.100000000000001" customHeight="1" x14ac:dyDescent="0.25">
      <c r="A5" s="21" t="s">
        <v>23</v>
      </c>
      <c r="B5" s="22">
        <v>1</v>
      </c>
      <c r="C5" s="11" t="s">
        <v>26</v>
      </c>
      <c r="D5" s="11" t="s">
        <v>120</v>
      </c>
      <c r="E5" s="11">
        <v>2</v>
      </c>
      <c r="F5" s="10">
        <v>45966</v>
      </c>
    </row>
    <row r="6" spans="1:6" ht="20.100000000000001" customHeight="1" x14ac:dyDescent="0.25">
      <c r="A6" s="21" t="s">
        <v>42</v>
      </c>
      <c r="B6" s="22">
        <v>2</v>
      </c>
      <c r="C6" s="11" t="s">
        <v>26</v>
      </c>
      <c r="D6" s="11" t="s">
        <v>120</v>
      </c>
      <c r="E6" s="11">
        <v>2</v>
      </c>
      <c r="F6" s="10">
        <v>45966</v>
      </c>
    </row>
    <row r="7" spans="1:6" ht="20.100000000000001" customHeight="1" x14ac:dyDescent="0.25">
      <c r="A7" s="21" t="s">
        <v>43</v>
      </c>
      <c r="B7" s="22">
        <v>2</v>
      </c>
      <c r="C7" s="11" t="s">
        <v>26</v>
      </c>
      <c r="D7" s="11" t="s">
        <v>120</v>
      </c>
      <c r="E7" s="11">
        <v>2</v>
      </c>
      <c r="F7" s="10">
        <v>45966</v>
      </c>
    </row>
    <row r="8" spans="1:6" ht="20.100000000000001" customHeight="1" x14ac:dyDescent="0.25">
      <c r="A8" s="21" t="s">
        <v>44</v>
      </c>
      <c r="B8" s="22">
        <v>2</v>
      </c>
      <c r="C8" s="11" t="s">
        <v>26</v>
      </c>
      <c r="D8" s="11" t="s">
        <v>120</v>
      </c>
      <c r="E8" s="11">
        <v>2</v>
      </c>
      <c r="F8" s="10">
        <v>45966</v>
      </c>
    </row>
    <row r="9" spans="1:6" ht="20.100000000000001" customHeight="1" x14ac:dyDescent="0.25">
      <c r="A9" s="21" t="s">
        <v>45</v>
      </c>
      <c r="B9" s="22">
        <v>2</v>
      </c>
      <c r="C9" s="11" t="s">
        <v>26</v>
      </c>
      <c r="D9" s="11" t="s">
        <v>120</v>
      </c>
      <c r="E9" s="11">
        <v>2</v>
      </c>
      <c r="F9" s="10">
        <v>45966</v>
      </c>
    </row>
    <row r="10" spans="1:6" ht="20.100000000000001" customHeight="1" x14ac:dyDescent="0.25">
      <c r="A10" s="21" t="s">
        <v>46</v>
      </c>
      <c r="B10" s="22">
        <v>3</v>
      </c>
      <c r="C10" s="11" t="s">
        <v>26</v>
      </c>
      <c r="D10" s="11" t="s">
        <v>120</v>
      </c>
      <c r="E10" s="11">
        <v>2</v>
      </c>
      <c r="F10" s="10">
        <v>45966</v>
      </c>
    </row>
    <row r="11" spans="1:6" ht="20.100000000000001" customHeight="1" x14ac:dyDescent="0.25">
      <c r="A11" s="21" t="s">
        <v>47</v>
      </c>
      <c r="B11" s="22">
        <v>3</v>
      </c>
      <c r="C11" s="11" t="s">
        <v>26</v>
      </c>
      <c r="D11" s="11" t="s">
        <v>120</v>
      </c>
      <c r="E11" s="11">
        <v>2</v>
      </c>
      <c r="F11" s="10">
        <v>45966</v>
      </c>
    </row>
    <row r="12" spans="1:6" ht="20.100000000000001" customHeight="1" x14ac:dyDescent="0.25">
      <c r="A12" s="21" t="s">
        <v>49</v>
      </c>
      <c r="B12" s="22">
        <v>3</v>
      </c>
      <c r="C12" s="11" t="s">
        <v>26</v>
      </c>
      <c r="D12" s="11" t="s">
        <v>120</v>
      </c>
      <c r="E12" s="11">
        <v>2</v>
      </c>
      <c r="F12" s="10">
        <v>45966</v>
      </c>
    </row>
    <row r="13" spans="1:6" ht="20.100000000000001" customHeight="1" x14ac:dyDescent="0.25">
      <c r="A13" s="21" t="s">
        <v>48</v>
      </c>
      <c r="B13" s="22">
        <v>3</v>
      </c>
      <c r="C13" s="11" t="s">
        <v>26</v>
      </c>
      <c r="D13" s="11" t="s">
        <v>120</v>
      </c>
      <c r="E13" s="11">
        <v>2</v>
      </c>
      <c r="F13" s="10">
        <v>45966</v>
      </c>
    </row>
    <row r="14" spans="1:6" ht="20.100000000000001" customHeight="1" x14ac:dyDescent="0.25">
      <c r="A14" s="21" t="s">
        <v>50</v>
      </c>
      <c r="B14" s="22">
        <v>4</v>
      </c>
      <c r="C14" s="11" t="s">
        <v>26</v>
      </c>
      <c r="D14" s="11" t="s">
        <v>120</v>
      </c>
      <c r="E14" s="11">
        <v>2</v>
      </c>
      <c r="F14" s="10">
        <v>45966</v>
      </c>
    </row>
    <row r="15" spans="1:6" ht="20.100000000000001" customHeight="1" x14ac:dyDescent="0.25">
      <c r="A15" s="21" t="s">
        <v>51</v>
      </c>
      <c r="B15" s="22">
        <v>4</v>
      </c>
      <c r="C15" s="11" t="s">
        <v>26</v>
      </c>
      <c r="D15" s="11" t="s">
        <v>120</v>
      </c>
      <c r="E15" s="11">
        <v>2</v>
      </c>
      <c r="F15" s="10">
        <v>45966</v>
      </c>
    </row>
    <row r="16" spans="1:6" ht="20.100000000000001" customHeight="1" x14ac:dyDescent="0.25">
      <c r="A16" s="21" t="s">
        <v>52</v>
      </c>
      <c r="B16" s="22">
        <v>4</v>
      </c>
      <c r="C16" s="11" t="s">
        <v>26</v>
      </c>
      <c r="D16" s="11" t="s">
        <v>120</v>
      </c>
      <c r="E16" s="11">
        <v>2</v>
      </c>
      <c r="F16" s="10">
        <v>45966</v>
      </c>
    </row>
    <row r="17" spans="1:6" ht="20.100000000000001" customHeight="1" x14ac:dyDescent="0.25">
      <c r="A17" s="21" t="s">
        <v>53</v>
      </c>
      <c r="B17" s="26">
        <v>4</v>
      </c>
      <c r="C17" s="11" t="s">
        <v>26</v>
      </c>
      <c r="D17" s="11" t="s">
        <v>120</v>
      </c>
      <c r="E17" s="11">
        <v>2</v>
      </c>
      <c r="F17" s="10">
        <v>45966</v>
      </c>
    </row>
    <row r="18" spans="1:6" ht="20.100000000000001" customHeight="1" x14ac:dyDescent="0.25">
      <c r="A18" s="21" t="s">
        <v>54</v>
      </c>
      <c r="B18" s="22">
        <v>5</v>
      </c>
      <c r="C18" s="11" t="s">
        <v>26</v>
      </c>
      <c r="D18" s="11" t="s">
        <v>120</v>
      </c>
      <c r="E18" s="11">
        <v>2</v>
      </c>
      <c r="F18" s="10">
        <v>45966</v>
      </c>
    </row>
    <row r="19" spans="1:6" ht="20.100000000000001" customHeight="1" x14ac:dyDescent="0.25">
      <c r="A19" s="21" t="s">
        <v>55</v>
      </c>
      <c r="B19" s="22">
        <v>5</v>
      </c>
      <c r="C19" s="11" t="s">
        <v>26</v>
      </c>
      <c r="D19" s="11" t="s">
        <v>120</v>
      </c>
      <c r="E19" s="11">
        <v>2</v>
      </c>
      <c r="F19" s="10">
        <v>45966</v>
      </c>
    </row>
    <row r="20" spans="1:6" ht="20.100000000000001" customHeight="1" x14ac:dyDescent="0.25">
      <c r="A20" s="21" t="s">
        <v>56</v>
      </c>
      <c r="B20" s="22">
        <v>5</v>
      </c>
      <c r="C20" s="11" t="s">
        <v>26</v>
      </c>
      <c r="D20" s="11" t="s">
        <v>120</v>
      </c>
      <c r="E20" s="11">
        <v>2</v>
      </c>
      <c r="F20" s="10">
        <v>45966</v>
      </c>
    </row>
    <row r="21" spans="1:6" ht="20.100000000000001" customHeight="1" x14ac:dyDescent="0.25">
      <c r="A21" s="21" t="s">
        <v>57</v>
      </c>
      <c r="B21" s="26">
        <v>5</v>
      </c>
      <c r="C21" s="11" t="s">
        <v>26</v>
      </c>
      <c r="D21" s="11" t="s">
        <v>120</v>
      </c>
      <c r="E21" s="11">
        <v>2</v>
      </c>
      <c r="F21" s="10">
        <v>45966</v>
      </c>
    </row>
    <row r="22" spans="1:6" ht="20.100000000000001" customHeight="1" x14ac:dyDescent="0.25">
      <c r="A22" s="21" t="s">
        <v>58</v>
      </c>
      <c r="B22" s="22">
        <v>1</v>
      </c>
      <c r="C22" s="11" t="s">
        <v>26</v>
      </c>
      <c r="D22" s="11" t="s">
        <v>78</v>
      </c>
      <c r="E22" s="11">
        <v>2</v>
      </c>
      <c r="F22" s="10">
        <v>45966</v>
      </c>
    </row>
    <row r="23" spans="1:6" ht="20.100000000000001" customHeight="1" x14ac:dyDescent="0.25">
      <c r="A23" s="21" t="s">
        <v>59</v>
      </c>
      <c r="B23" s="22">
        <v>1</v>
      </c>
      <c r="C23" s="11" t="s">
        <v>26</v>
      </c>
      <c r="D23" s="11" t="s">
        <v>78</v>
      </c>
      <c r="E23" s="11">
        <v>2</v>
      </c>
      <c r="F23" s="10">
        <v>45966</v>
      </c>
    </row>
    <row r="24" spans="1:6" ht="20.100000000000001" customHeight="1" x14ac:dyDescent="0.25">
      <c r="A24" s="21" t="s">
        <v>60</v>
      </c>
      <c r="B24" s="22">
        <v>1</v>
      </c>
      <c r="C24" s="11" t="s">
        <v>26</v>
      </c>
      <c r="D24" s="11" t="s">
        <v>78</v>
      </c>
      <c r="E24" s="11">
        <v>2</v>
      </c>
      <c r="F24" s="10">
        <v>45966</v>
      </c>
    </row>
    <row r="25" spans="1:6" ht="20.100000000000001" customHeight="1" x14ac:dyDescent="0.25">
      <c r="A25" s="21" t="s">
        <v>61</v>
      </c>
      <c r="B25" s="22">
        <v>1</v>
      </c>
      <c r="C25" s="11" t="s">
        <v>26</v>
      </c>
      <c r="D25" s="11" t="s">
        <v>78</v>
      </c>
      <c r="E25" s="11">
        <v>2</v>
      </c>
      <c r="F25" s="10">
        <v>45966</v>
      </c>
    </row>
    <row r="26" spans="1:6" ht="20.100000000000001" customHeight="1" x14ac:dyDescent="0.25">
      <c r="A26" s="21" t="s">
        <v>62</v>
      </c>
      <c r="B26" s="22">
        <v>2</v>
      </c>
      <c r="C26" s="11" t="s">
        <v>26</v>
      </c>
      <c r="D26" s="11" t="s">
        <v>78</v>
      </c>
      <c r="E26" s="11">
        <v>2</v>
      </c>
      <c r="F26" s="10">
        <v>45966</v>
      </c>
    </row>
    <row r="27" spans="1:6" ht="20.100000000000001" customHeight="1" x14ac:dyDescent="0.25">
      <c r="A27" s="21" t="s">
        <v>63</v>
      </c>
      <c r="B27" s="22">
        <v>2</v>
      </c>
      <c r="C27" s="11" t="s">
        <v>26</v>
      </c>
      <c r="D27" s="11" t="s">
        <v>78</v>
      </c>
      <c r="E27" s="11">
        <v>2</v>
      </c>
      <c r="F27" s="10">
        <v>45966</v>
      </c>
    </row>
    <row r="28" spans="1:6" ht="20.100000000000001" customHeight="1" x14ac:dyDescent="0.25">
      <c r="A28" s="21" t="s">
        <v>64</v>
      </c>
      <c r="B28" s="22">
        <v>2</v>
      </c>
      <c r="C28" s="11" t="s">
        <v>26</v>
      </c>
      <c r="D28" s="11" t="s">
        <v>78</v>
      </c>
      <c r="E28" s="11">
        <v>2</v>
      </c>
      <c r="F28" s="10">
        <v>45966</v>
      </c>
    </row>
    <row r="29" spans="1:6" ht="20.100000000000001" customHeight="1" x14ac:dyDescent="0.25">
      <c r="A29" s="21" t="s">
        <v>65</v>
      </c>
      <c r="B29" s="22">
        <v>2</v>
      </c>
      <c r="C29" s="11" t="s">
        <v>26</v>
      </c>
      <c r="D29" s="11" t="s">
        <v>78</v>
      </c>
      <c r="E29" s="11">
        <v>2</v>
      </c>
      <c r="F29" s="10">
        <v>45966</v>
      </c>
    </row>
    <row r="30" spans="1:6" ht="20.100000000000001" customHeight="1" x14ac:dyDescent="0.25">
      <c r="A30" s="21" t="s">
        <v>66</v>
      </c>
      <c r="B30" s="22">
        <v>3</v>
      </c>
      <c r="C30" s="11" t="s">
        <v>26</v>
      </c>
      <c r="D30" s="11" t="s">
        <v>78</v>
      </c>
      <c r="E30" s="11">
        <v>2</v>
      </c>
      <c r="F30" s="10">
        <v>45966</v>
      </c>
    </row>
    <row r="31" spans="1:6" ht="20.100000000000001" customHeight="1" x14ac:dyDescent="0.25">
      <c r="A31" s="21" t="s">
        <v>67</v>
      </c>
      <c r="B31" s="22">
        <v>3</v>
      </c>
      <c r="C31" s="11" t="s">
        <v>26</v>
      </c>
      <c r="D31" s="11" t="s">
        <v>78</v>
      </c>
      <c r="E31" s="11">
        <v>2</v>
      </c>
      <c r="F31" s="10">
        <v>45966</v>
      </c>
    </row>
    <row r="32" spans="1:6" ht="20.100000000000001" customHeight="1" x14ac:dyDescent="0.25">
      <c r="A32" s="21" t="s">
        <v>68</v>
      </c>
      <c r="B32" s="22">
        <v>3</v>
      </c>
      <c r="C32" s="11" t="s">
        <v>26</v>
      </c>
      <c r="D32" s="11" t="s">
        <v>78</v>
      </c>
      <c r="E32" s="11">
        <v>2</v>
      </c>
      <c r="F32" s="10">
        <v>45966</v>
      </c>
    </row>
    <row r="33" spans="1:6" ht="20.100000000000001" customHeight="1" x14ac:dyDescent="0.25">
      <c r="A33" s="21" t="s">
        <v>69</v>
      </c>
      <c r="B33" s="22">
        <v>3</v>
      </c>
      <c r="C33" s="11" t="s">
        <v>26</v>
      </c>
      <c r="D33" s="11" t="s">
        <v>78</v>
      </c>
      <c r="E33" s="11">
        <v>2</v>
      </c>
      <c r="F33" s="10">
        <v>45966</v>
      </c>
    </row>
    <row r="34" spans="1:6" ht="20.100000000000001" customHeight="1" x14ac:dyDescent="0.25">
      <c r="A34" s="21" t="s">
        <v>70</v>
      </c>
      <c r="B34" s="22">
        <v>4</v>
      </c>
      <c r="C34" s="11" t="s">
        <v>26</v>
      </c>
      <c r="D34" s="11" t="s">
        <v>78</v>
      </c>
      <c r="E34" s="11">
        <v>2</v>
      </c>
      <c r="F34" s="10">
        <v>45966</v>
      </c>
    </row>
    <row r="35" spans="1:6" ht="20.100000000000001" customHeight="1" x14ac:dyDescent="0.25">
      <c r="A35" s="21" t="s">
        <v>71</v>
      </c>
      <c r="B35" s="22">
        <v>4</v>
      </c>
      <c r="C35" s="11" t="s">
        <v>26</v>
      </c>
      <c r="D35" s="11" t="s">
        <v>78</v>
      </c>
      <c r="E35" s="11">
        <v>2</v>
      </c>
      <c r="F35" s="10">
        <v>45966</v>
      </c>
    </row>
    <row r="36" spans="1:6" ht="20.100000000000001" customHeight="1" x14ac:dyDescent="0.25">
      <c r="A36" s="21" t="s">
        <v>72</v>
      </c>
      <c r="B36" s="22">
        <v>4</v>
      </c>
      <c r="C36" s="11" t="s">
        <v>26</v>
      </c>
      <c r="D36" s="11" t="s">
        <v>78</v>
      </c>
      <c r="E36" s="11">
        <v>2</v>
      </c>
      <c r="F36" s="10">
        <v>45966</v>
      </c>
    </row>
    <row r="37" spans="1:6" ht="20.100000000000001" customHeight="1" x14ac:dyDescent="0.25">
      <c r="A37" s="21" t="s">
        <v>73</v>
      </c>
      <c r="B37" s="26">
        <v>4</v>
      </c>
      <c r="C37" s="11" t="s">
        <v>26</v>
      </c>
      <c r="D37" s="11" t="s">
        <v>78</v>
      </c>
      <c r="E37" s="11">
        <v>2</v>
      </c>
      <c r="F37" s="10">
        <v>45966</v>
      </c>
    </row>
    <row r="38" spans="1:6" ht="20.100000000000001" customHeight="1" x14ac:dyDescent="0.25">
      <c r="A38" s="21" t="s">
        <v>74</v>
      </c>
      <c r="B38" s="22">
        <v>5</v>
      </c>
      <c r="C38" s="11" t="s">
        <v>26</v>
      </c>
      <c r="D38" s="11" t="s">
        <v>78</v>
      </c>
      <c r="E38" s="11">
        <v>2</v>
      </c>
      <c r="F38" s="10">
        <v>45966</v>
      </c>
    </row>
    <row r="39" spans="1:6" ht="20.100000000000001" customHeight="1" x14ac:dyDescent="0.25">
      <c r="A39" s="21" t="s">
        <v>75</v>
      </c>
      <c r="B39" s="22">
        <v>5</v>
      </c>
      <c r="C39" s="11" t="s">
        <v>26</v>
      </c>
      <c r="D39" s="11" t="s">
        <v>78</v>
      </c>
      <c r="E39" s="11">
        <v>2</v>
      </c>
      <c r="F39" s="10">
        <v>45966</v>
      </c>
    </row>
    <row r="40" spans="1:6" ht="20.100000000000001" customHeight="1" x14ac:dyDescent="0.25">
      <c r="A40" s="21" t="s">
        <v>76</v>
      </c>
      <c r="B40" s="22">
        <v>5</v>
      </c>
      <c r="C40" s="11" t="s">
        <v>26</v>
      </c>
      <c r="D40" s="11" t="s">
        <v>78</v>
      </c>
      <c r="E40" s="11">
        <v>2</v>
      </c>
      <c r="F40" s="10">
        <v>45966</v>
      </c>
    </row>
    <row r="41" spans="1:6" ht="20.100000000000001" customHeight="1" x14ac:dyDescent="0.25">
      <c r="A41" s="21" t="s">
        <v>77</v>
      </c>
      <c r="B41" s="26">
        <v>5</v>
      </c>
      <c r="C41" s="11" t="s">
        <v>26</v>
      </c>
      <c r="D41" s="11" t="s">
        <v>78</v>
      </c>
      <c r="E41" s="11">
        <v>2</v>
      </c>
      <c r="F41" s="10">
        <v>45966</v>
      </c>
    </row>
    <row r="42" spans="1:6" ht="20.100000000000001" customHeight="1" x14ac:dyDescent="0.25">
      <c r="A42" s="21" t="s">
        <v>79</v>
      </c>
      <c r="B42" s="22">
        <v>1</v>
      </c>
      <c r="C42" s="11" t="s">
        <v>39</v>
      </c>
      <c r="D42" s="11" t="s">
        <v>120</v>
      </c>
      <c r="E42" s="11">
        <v>2</v>
      </c>
      <c r="F42" s="10">
        <v>45966</v>
      </c>
    </row>
    <row r="43" spans="1:6" ht="20.100000000000001" customHeight="1" x14ac:dyDescent="0.25">
      <c r="A43" s="21" t="s">
        <v>80</v>
      </c>
      <c r="B43" s="22">
        <v>1</v>
      </c>
      <c r="C43" s="11" t="s">
        <v>39</v>
      </c>
      <c r="D43" s="11" t="s">
        <v>120</v>
      </c>
      <c r="E43" s="11">
        <v>2</v>
      </c>
      <c r="F43" s="10">
        <v>45966</v>
      </c>
    </row>
    <row r="44" spans="1:6" ht="20.100000000000001" customHeight="1" x14ac:dyDescent="0.25">
      <c r="A44" s="21" t="s">
        <v>81</v>
      </c>
      <c r="B44" s="22">
        <v>1</v>
      </c>
      <c r="C44" s="11" t="s">
        <v>39</v>
      </c>
      <c r="D44" s="11" t="s">
        <v>120</v>
      </c>
      <c r="E44" s="11">
        <v>2</v>
      </c>
      <c r="F44" s="10">
        <v>45966</v>
      </c>
    </row>
    <row r="45" spans="1:6" ht="20.100000000000001" customHeight="1" x14ac:dyDescent="0.25">
      <c r="A45" s="21" t="s">
        <v>82</v>
      </c>
      <c r="B45" s="22">
        <v>1</v>
      </c>
      <c r="C45" s="11" t="s">
        <v>39</v>
      </c>
      <c r="D45" s="11" t="s">
        <v>120</v>
      </c>
      <c r="E45" s="11">
        <v>2</v>
      </c>
      <c r="F45" s="10">
        <v>45966</v>
      </c>
    </row>
    <row r="46" spans="1:6" ht="20.100000000000001" customHeight="1" x14ac:dyDescent="0.25">
      <c r="A46" s="21" t="s">
        <v>83</v>
      </c>
      <c r="B46" s="22">
        <v>2</v>
      </c>
      <c r="C46" s="11" t="s">
        <v>39</v>
      </c>
      <c r="D46" s="11" t="s">
        <v>120</v>
      </c>
      <c r="E46" s="11">
        <v>2</v>
      </c>
      <c r="F46" s="10">
        <v>45966</v>
      </c>
    </row>
    <row r="47" spans="1:6" ht="20.100000000000001" customHeight="1" x14ac:dyDescent="0.25">
      <c r="A47" s="21" t="s">
        <v>84</v>
      </c>
      <c r="B47" s="22">
        <v>2</v>
      </c>
      <c r="C47" s="11" t="s">
        <v>39</v>
      </c>
      <c r="D47" s="11" t="s">
        <v>120</v>
      </c>
      <c r="E47" s="11">
        <v>2</v>
      </c>
      <c r="F47" s="10">
        <v>45966</v>
      </c>
    </row>
    <row r="48" spans="1:6" ht="20.100000000000001" customHeight="1" x14ac:dyDescent="0.25">
      <c r="A48" s="21" t="s">
        <v>85</v>
      </c>
      <c r="B48" s="22">
        <v>2</v>
      </c>
      <c r="C48" s="11" t="s">
        <v>39</v>
      </c>
      <c r="D48" s="11" t="s">
        <v>120</v>
      </c>
      <c r="E48" s="11">
        <v>2</v>
      </c>
      <c r="F48" s="10">
        <v>45966</v>
      </c>
    </row>
    <row r="49" spans="1:6" ht="20.100000000000001" customHeight="1" x14ac:dyDescent="0.25">
      <c r="A49" s="21" t="s">
        <v>86</v>
      </c>
      <c r="B49" s="22">
        <v>2</v>
      </c>
      <c r="C49" s="11" t="s">
        <v>39</v>
      </c>
      <c r="D49" s="11" t="s">
        <v>120</v>
      </c>
      <c r="E49" s="11">
        <v>2</v>
      </c>
      <c r="F49" s="10">
        <v>45966</v>
      </c>
    </row>
    <row r="50" spans="1:6" ht="20.100000000000001" customHeight="1" x14ac:dyDescent="0.25">
      <c r="A50" s="21" t="s">
        <v>87</v>
      </c>
      <c r="B50" s="22">
        <v>3</v>
      </c>
      <c r="C50" s="11" t="s">
        <v>39</v>
      </c>
      <c r="D50" s="11" t="s">
        <v>120</v>
      </c>
      <c r="E50" s="11">
        <v>2</v>
      </c>
      <c r="F50" s="10">
        <v>45966</v>
      </c>
    </row>
    <row r="51" spans="1:6" ht="20.100000000000001" customHeight="1" x14ac:dyDescent="0.25">
      <c r="A51" s="21" t="s">
        <v>88</v>
      </c>
      <c r="B51" s="22">
        <v>3</v>
      </c>
      <c r="C51" s="11" t="s">
        <v>39</v>
      </c>
      <c r="D51" s="11" t="s">
        <v>120</v>
      </c>
      <c r="E51" s="11">
        <v>2</v>
      </c>
      <c r="F51" s="10">
        <v>45966</v>
      </c>
    </row>
    <row r="52" spans="1:6" ht="20.100000000000001" customHeight="1" x14ac:dyDescent="0.25">
      <c r="A52" s="21" t="s">
        <v>89</v>
      </c>
      <c r="B52" s="22">
        <v>3</v>
      </c>
      <c r="C52" s="11" t="s">
        <v>39</v>
      </c>
      <c r="D52" s="11" t="s">
        <v>120</v>
      </c>
      <c r="E52" s="11">
        <v>2</v>
      </c>
      <c r="F52" s="10">
        <v>45966</v>
      </c>
    </row>
    <row r="53" spans="1:6" ht="20.100000000000001" customHeight="1" x14ac:dyDescent="0.25">
      <c r="A53" s="21" t="s">
        <v>90</v>
      </c>
      <c r="B53" s="22">
        <v>3</v>
      </c>
      <c r="C53" s="11" t="s">
        <v>39</v>
      </c>
      <c r="D53" s="11" t="s">
        <v>120</v>
      </c>
      <c r="E53" s="11">
        <v>2</v>
      </c>
      <c r="F53" s="10">
        <v>45966</v>
      </c>
    </row>
    <row r="54" spans="1:6" ht="20.100000000000001" customHeight="1" x14ac:dyDescent="0.25">
      <c r="A54" s="21" t="s">
        <v>91</v>
      </c>
      <c r="B54" s="22">
        <v>4</v>
      </c>
      <c r="C54" s="11" t="s">
        <v>39</v>
      </c>
      <c r="D54" s="11" t="s">
        <v>120</v>
      </c>
      <c r="E54" s="11">
        <v>2</v>
      </c>
      <c r="F54" s="10">
        <v>45966</v>
      </c>
    </row>
    <row r="55" spans="1:6" ht="20.100000000000001" customHeight="1" x14ac:dyDescent="0.25">
      <c r="A55" s="21" t="s">
        <v>92</v>
      </c>
      <c r="B55" s="22">
        <v>4</v>
      </c>
      <c r="C55" s="11" t="s">
        <v>39</v>
      </c>
      <c r="D55" s="11" t="s">
        <v>120</v>
      </c>
      <c r="E55" s="11">
        <v>2</v>
      </c>
      <c r="F55" s="10">
        <v>45966</v>
      </c>
    </row>
    <row r="56" spans="1:6" ht="20.100000000000001" customHeight="1" x14ac:dyDescent="0.25">
      <c r="A56" s="21" t="s">
        <v>93</v>
      </c>
      <c r="B56" s="22">
        <v>4</v>
      </c>
      <c r="C56" s="11" t="s">
        <v>39</v>
      </c>
      <c r="D56" s="11" t="s">
        <v>120</v>
      </c>
      <c r="E56" s="11">
        <v>2</v>
      </c>
      <c r="F56" s="10">
        <v>45966</v>
      </c>
    </row>
    <row r="57" spans="1:6" ht="20.100000000000001" customHeight="1" x14ac:dyDescent="0.25">
      <c r="A57" s="21" t="s">
        <v>94</v>
      </c>
      <c r="B57" s="22">
        <v>4</v>
      </c>
      <c r="C57" s="11" t="s">
        <v>39</v>
      </c>
      <c r="D57" s="11" t="s">
        <v>120</v>
      </c>
      <c r="E57" s="11">
        <v>2</v>
      </c>
      <c r="F57" s="10">
        <v>45966</v>
      </c>
    </row>
    <row r="58" spans="1:6" ht="20.100000000000001" customHeight="1" x14ac:dyDescent="0.25">
      <c r="A58" s="21" t="s">
        <v>95</v>
      </c>
      <c r="B58" s="22">
        <v>5</v>
      </c>
      <c r="C58" s="11" t="s">
        <v>39</v>
      </c>
      <c r="D58" s="11" t="s">
        <v>120</v>
      </c>
      <c r="E58" s="11">
        <v>2</v>
      </c>
      <c r="F58" s="10">
        <v>45966</v>
      </c>
    </row>
    <row r="59" spans="1:6" ht="20.100000000000001" customHeight="1" x14ac:dyDescent="0.25">
      <c r="A59" s="21" t="s">
        <v>96</v>
      </c>
      <c r="B59" s="22">
        <v>5</v>
      </c>
      <c r="C59" s="11" t="s">
        <v>39</v>
      </c>
      <c r="D59" s="11" t="s">
        <v>120</v>
      </c>
      <c r="E59" s="11">
        <v>2</v>
      </c>
      <c r="F59" s="10">
        <v>45966</v>
      </c>
    </row>
    <row r="60" spans="1:6" ht="20.100000000000001" customHeight="1" x14ac:dyDescent="0.25">
      <c r="A60" s="21" t="s">
        <v>97</v>
      </c>
      <c r="B60" s="22">
        <v>5</v>
      </c>
      <c r="C60" s="11" t="s">
        <v>39</v>
      </c>
      <c r="D60" s="11" t="s">
        <v>120</v>
      </c>
      <c r="E60" s="11">
        <v>2</v>
      </c>
      <c r="F60" s="10">
        <v>45966</v>
      </c>
    </row>
    <row r="61" spans="1:6" ht="20.100000000000001" customHeight="1" x14ac:dyDescent="0.25">
      <c r="A61" s="21" t="s">
        <v>98</v>
      </c>
      <c r="B61" s="22">
        <v>5</v>
      </c>
      <c r="C61" s="11" t="s">
        <v>39</v>
      </c>
      <c r="D61" s="11" t="s">
        <v>120</v>
      </c>
      <c r="E61" s="11">
        <v>2</v>
      </c>
      <c r="F61" s="10">
        <v>45966</v>
      </c>
    </row>
    <row r="62" spans="1:6" ht="20.100000000000001" customHeight="1" x14ac:dyDescent="0.25">
      <c r="A62" s="21" t="s">
        <v>99</v>
      </c>
      <c r="B62" s="22">
        <v>1</v>
      </c>
      <c r="C62" s="11" t="s">
        <v>39</v>
      </c>
      <c r="D62" s="11" t="s">
        <v>119</v>
      </c>
      <c r="E62" s="11">
        <v>2</v>
      </c>
      <c r="F62" s="10">
        <v>45966</v>
      </c>
    </row>
    <row r="63" spans="1:6" ht="20.100000000000001" customHeight="1" x14ac:dyDescent="0.25">
      <c r="A63" s="21" t="s">
        <v>100</v>
      </c>
      <c r="B63" s="22">
        <v>1</v>
      </c>
      <c r="C63" s="11" t="s">
        <v>39</v>
      </c>
      <c r="D63" s="11" t="s">
        <v>119</v>
      </c>
      <c r="E63" s="11">
        <v>2</v>
      </c>
      <c r="F63" s="10">
        <v>45966</v>
      </c>
    </row>
    <row r="64" spans="1:6" ht="20.100000000000001" customHeight="1" x14ac:dyDescent="0.25">
      <c r="A64" s="21" t="s">
        <v>101</v>
      </c>
      <c r="B64" s="22">
        <v>1</v>
      </c>
      <c r="C64" s="11" t="s">
        <v>39</v>
      </c>
      <c r="D64" s="11" t="s">
        <v>119</v>
      </c>
      <c r="E64" s="11">
        <v>2</v>
      </c>
      <c r="F64" s="10">
        <v>45966</v>
      </c>
    </row>
    <row r="65" spans="1:6" ht="20.100000000000001" customHeight="1" x14ac:dyDescent="0.25">
      <c r="A65" s="21" t="s">
        <v>102</v>
      </c>
      <c r="B65" s="22">
        <v>1</v>
      </c>
      <c r="C65" s="11" t="s">
        <v>39</v>
      </c>
      <c r="D65" s="11" t="s">
        <v>119</v>
      </c>
      <c r="E65" s="11">
        <v>2</v>
      </c>
      <c r="F65" s="10">
        <v>45966</v>
      </c>
    </row>
    <row r="66" spans="1:6" ht="20.100000000000001" customHeight="1" x14ac:dyDescent="0.25">
      <c r="A66" s="21" t="s">
        <v>103</v>
      </c>
      <c r="B66" s="22">
        <v>2</v>
      </c>
      <c r="C66" s="11" t="s">
        <v>39</v>
      </c>
      <c r="D66" s="11" t="s">
        <v>119</v>
      </c>
      <c r="E66" s="11">
        <v>2</v>
      </c>
      <c r="F66" s="10">
        <v>45966</v>
      </c>
    </row>
    <row r="67" spans="1:6" ht="20.100000000000001" customHeight="1" x14ac:dyDescent="0.25">
      <c r="A67" s="21" t="s">
        <v>104</v>
      </c>
      <c r="B67" s="22">
        <v>2</v>
      </c>
      <c r="C67" s="11" t="s">
        <v>39</v>
      </c>
      <c r="D67" s="11" t="s">
        <v>119</v>
      </c>
      <c r="E67" s="11">
        <v>2</v>
      </c>
      <c r="F67" s="10">
        <v>45966</v>
      </c>
    </row>
    <row r="68" spans="1:6" ht="20.100000000000001" customHeight="1" x14ac:dyDescent="0.25">
      <c r="A68" s="21" t="s">
        <v>105</v>
      </c>
      <c r="B68" s="22">
        <v>2</v>
      </c>
      <c r="C68" s="11" t="s">
        <v>39</v>
      </c>
      <c r="D68" s="11" t="s">
        <v>119</v>
      </c>
      <c r="E68" s="11">
        <v>2</v>
      </c>
      <c r="F68" s="10">
        <v>45966</v>
      </c>
    </row>
    <row r="69" spans="1:6" ht="20.100000000000001" customHeight="1" x14ac:dyDescent="0.25">
      <c r="A69" s="21" t="s">
        <v>106</v>
      </c>
      <c r="B69" s="22">
        <v>2</v>
      </c>
      <c r="C69" s="11" t="s">
        <v>39</v>
      </c>
      <c r="D69" s="11" t="s">
        <v>119</v>
      </c>
      <c r="E69" s="11">
        <v>2</v>
      </c>
      <c r="F69" s="10">
        <v>45966</v>
      </c>
    </row>
    <row r="70" spans="1:6" ht="20.100000000000001" customHeight="1" x14ac:dyDescent="0.25">
      <c r="A70" s="21" t="s">
        <v>107</v>
      </c>
      <c r="B70" s="22">
        <v>3</v>
      </c>
      <c r="C70" s="11" t="s">
        <v>39</v>
      </c>
      <c r="D70" s="11" t="s">
        <v>119</v>
      </c>
      <c r="E70" s="11">
        <v>2</v>
      </c>
      <c r="F70" s="10">
        <v>45966</v>
      </c>
    </row>
    <row r="71" spans="1:6" ht="20.100000000000001" customHeight="1" x14ac:dyDescent="0.25">
      <c r="A71" s="21" t="s">
        <v>108</v>
      </c>
      <c r="B71" s="22">
        <v>3</v>
      </c>
      <c r="C71" s="11" t="s">
        <v>39</v>
      </c>
      <c r="D71" s="11" t="s">
        <v>119</v>
      </c>
      <c r="E71" s="11">
        <v>2</v>
      </c>
      <c r="F71" s="10">
        <v>45966</v>
      </c>
    </row>
    <row r="72" spans="1:6" ht="20.100000000000001" customHeight="1" x14ac:dyDescent="0.25">
      <c r="A72" s="21" t="s">
        <v>109</v>
      </c>
      <c r="B72" s="22">
        <v>3</v>
      </c>
      <c r="C72" s="11" t="s">
        <v>39</v>
      </c>
      <c r="D72" s="11" t="s">
        <v>119</v>
      </c>
      <c r="E72" s="11">
        <v>2</v>
      </c>
      <c r="F72" s="10">
        <v>45966</v>
      </c>
    </row>
    <row r="73" spans="1:6" ht="20.100000000000001" customHeight="1" x14ac:dyDescent="0.25">
      <c r="A73" s="21" t="s">
        <v>110</v>
      </c>
      <c r="B73" s="22">
        <v>3</v>
      </c>
      <c r="C73" s="11" t="s">
        <v>39</v>
      </c>
      <c r="D73" s="11" t="s">
        <v>119</v>
      </c>
      <c r="E73" s="11">
        <v>2</v>
      </c>
      <c r="F73" s="10">
        <v>45966</v>
      </c>
    </row>
    <row r="74" spans="1:6" ht="20.100000000000001" customHeight="1" x14ac:dyDescent="0.25">
      <c r="A74" s="21" t="s">
        <v>111</v>
      </c>
      <c r="B74" s="22">
        <v>4</v>
      </c>
      <c r="C74" s="11" t="s">
        <v>39</v>
      </c>
      <c r="D74" s="11" t="s">
        <v>119</v>
      </c>
      <c r="E74" s="11">
        <v>2</v>
      </c>
      <c r="F74" s="10">
        <v>45966</v>
      </c>
    </row>
    <row r="75" spans="1:6" ht="20.100000000000001" customHeight="1" x14ac:dyDescent="0.25">
      <c r="A75" s="21" t="s">
        <v>112</v>
      </c>
      <c r="B75" s="22">
        <v>4</v>
      </c>
      <c r="C75" s="11" t="s">
        <v>39</v>
      </c>
      <c r="D75" s="11" t="s">
        <v>119</v>
      </c>
      <c r="E75" s="11">
        <v>2</v>
      </c>
      <c r="F75" s="10">
        <v>45966</v>
      </c>
    </row>
    <row r="76" spans="1:6" ht="20.100000000000001" customHeight="1" x14ac:dyDescent="0.25">
      <c r="A76" s="21" t="s">
        <v>113</v>
      </c>
      <c r="B76" s="22">
        <v>4</v>
      </c>
      <c r="C76" s="11" t="s">
        <v>39</v>
      </c>
      <c r="D76" s="11" t="s">
        <v>119</v>
      </c>
      <c r="E76" s="11">
        <v>2</v>
      </c>
      <c r="F76" s="10">
        <v>45966</v>
      </c>
    </row>
    <row r="77" spans="1:6" ht="20.100000000000001" customHeight="1" x14ac:dyDescent="0.25">
      <c r="A77" s="21" t="s">
        <v>114</v>
      </c>
      <c r="B77" s="22">
        <v>4</v>
      </c>
      <c r="C77" s="11" t="s">
        <v>39</v>
      </c>
      <c r="D77" s="11" t="s">
        <v>119</v>
      </c>
      <c r="E77" s="11">
        <v>2</v>
      </c>
      <c r="F77" s="10">
        <v>45966</v>
      </c>
    </row>
    <row r="78" spans="1:6" ht="20.100000000000001" customHeight="1" x14ac:dyDescent="0.25">
      <c r="A78" s="21" t="s">
        <v>115</v>
      </c>
      <c r="B78" s="22">
        <v>5</v>
      </c>
      <c r="C78" s="11" t="s">
        <v>39</v>
      </c>
      <c r="D78" s="11" t="s">
        <v>119</v>
      </c>
      <c r="E78" s="11">
        <v>2</v>
      </c>
      <c r="F78" s="10">
        <v>45966</v>
      </c>
    </row>
    <row r="79" spans="1:6" ht="20.100000000000001" customHeight="1" x14ac:dyDescent="0.25">
      <c r="A79" s="21" t="s">
        <v>116</v>
      </c>
      <c r="B79" s="22">
        <v>5</v>
      </c>
      <c r="C79" s="11" t="s">
        <v>39</v>
      </c>
      <c r="D79" s="11" t="s">
        <v>119</v>
      </c>
      <c r="E79" s="11">
        <v>2</v>
      </c>
      <c r="F79" s="10">
        <v>45966</v>
      </c>
    </row>
    <row r="80" spans="1:6" ht="20.100000000000001" customHeight="1" x14ac:dyDescent="0.25">
      <c r="A80" s="21" t="s">
        <v>117</v>
      </c>
      <c r="B80" s="22">
        <v>5</v>
      </c>
      <c r="C80" s="11" t="s">
        <v>39</v>
      </c>
      <c r="D80" s="11" t="s">
        <v>119</v>
      </c>
      <c r="E80" s="11">
        <v>2</v>
      </c>
      <c r="F80" s="10">
        <v>45966</v>
      </c>
    </row>
    <row r="81" spans="1:6" ht="20.100000000000001" customHeight="1" x14ac:dyDescent="0.25">
      <c r="A81" s="21" t="s">
        <v>118</v>
      </c>
      <c r="B81" s="22">
        <v>5</v>
      </c>
      <c r="C81" s="11" t="s">
        <v>39</v>
      </c>
      <c r="D81" s="11" t="s">
        <v>119</v>
      </c>
      <c r="E81" s="11">
        <v>2</v>
      </c>
      <c r="F81" s="10">
        <v>45966</v>
      </c>
    </row>
  </sheetData>
  <phoneticPr fontId="7" type="noConversion"/>
  <pageMargins left="0.7" right="0.7" top="0.75" bottom="0.75" header="0.511811023622047" footer="0.511811023622047"/>
  <pageSetup paperSize="9" scale="66"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5A11"/>
    <pageSetUpPr fitToPage="1"/>
  </sheetPr>
  <dimension ref="A1:Q81"/>
  <sheetViews>
    <sheetView zoomScale="115" zoomScaleNormal="115" workbookViewId="0">
      <pane ySplit="1" topLeftCell="A2" activePane="bottomLeft" state="frozen"/>
      <selection pane="bottomLeft" activeCell="M12" sqref="M12"/>
    </sheetView>
  </sheetViews>
  <sheetFormatPr baseColWidth="10" defaultColWidth="11.28515625" defaultRowHeight="20.100000000000001" customHeight="1" x14ac:dyDescent="0.25"/>
  <cols>
    <col min="1" max="1" width="12.85546875" style="7" bestFit="1" customWidth="1"/>
    <col min="2" max="2" width="18.140625" style="7" bestFit="1" customWidth="1"/>
    <col min="3" max="3" width="15.7109375" style="2" bestFit="1" customWidth="1"/>
    <col min="4" max="4" width="15.7109375" style="2" customWidth="1"/>
    <col min="5" max="5" width="15.42578125" style="2" customWidth="1"/>
    <col min="6" max="6" width="15.5703125" style="8" customWidth="1"/>
    <col min="7" max="7" width="10.42578125" style="9" customWidth="1"/>
    <col min="8" max="8" width="11.85546875" style="9" customWidth="1"/>
    <col min="9" max="9" width="20.5703125" style="9" bestFit="1" customWidth="1"/>
    <col min="10" max="10" width="14" style="50" customWidth="1"/>
    <col min="11" max="14" width="11.28515625" style="2"/>
    <col min="15" max="15" width="20.42578125" style="2" bestFit="1" customWidth="1"/>
    <col min="16" max="16" width="11.28515625" style="2"/>
    <col min="17" max="17" width="52.28515625" style="2" bestFit="1" customWidth="1"/>
    <col min="18" max="16384" width="11.28515625" style="2"/>
  </cols>
  <sheetData>
    <row r="1" spans="1:17" ht="36" customHeight="1" x14ac:dyDescent="0.25">
      <c r="A1" s="16" t="s">
        <v>122</v>
      </c>
      <c r="B1" s="16" t="s">
        <v>124</v>
      </c>
      <c r="C1" s="17" t="s">
        <v>1</v>
      </c>
      <c r="D1" s="17" t="s">
        <v>2</v>
      </c>
      <c r="E1" s="17" t="s">
        <v>19</v>
      </c>
      <c r="F1" s="18" t="s">
        <v>3</v>
      </c>
      <c r="G1" s="19" t="s">
        <v>4</v>
      </c>
      <c r="H1" s="19" t="s">
        <v>5</v>
      </c>
      <c r="I1" s="19" t="s">
        <v>303</v>
      </c>
      <c r="J1" s="20" t="s">
        <v>305</v>
      </c>
      <c r="N1" s="69" t="s">
        <v>6</v>
      </c>
      <c r="O1" s="70"/>
      <c r="P1" s="70"/>
      <c r="Q1" s="71"/>
    </row>
    <row r="2" spans="1:17" ht="20.100000000000001" customHeight="1" x14ac:dyDescent="0.25">
      <c r="A2" s="21" t="s">
        <v>20</v>
      </c>
      <c r="B2" s="21" t="s">
        <v>134</v>
      </c>
      <c r="C2" s="10">
        <v>45971</v>
      </c>
      <c r="D2" s="11" t="s">
        <v>16</v>
      </c>
      <c r="E2" s="11" t="s">
        <v>123</v>
      </c>
      <c r="F2" s="12">
        <v>30.6</v>
      </c>
      <c r="G2" s="13">
        <v>1.65</v>
      </c>
      <c r="H2" s="13">
        <v>0.56000000000000005</v>
      </c>
      <c r="I2" s="13"/>
      <c r="J2" s="14" t="s">
        <v>306</v>
      </c>
      <c r="N2" s="1" t="s">
        <v>0</v>
      </c>
      <c r="O2" s="1" t="s">
        <v>8</v>
      </c>
      <c r="P2" s="1" t="s">
        <v>9</v>
      </c>
      <c r="Q2" s="1" t="s">
        <v>2</v>
      </c>
    </row>
    <row r="3" spans="1:17" ht="20.100000000000001" customHeight="1" x14ac:dyDescent="0.25">
      <c r="A3" s="21" t="s">
        <v>42</v>
      </c>
      <c r="B3" s="21" t="s">
        <v>138</v>
      </c>
      <c r="C3" s="10">
        <v>45973</v>
      </c>
      <c r="D3" s="11" t="s">
        <v>16</v>
      </c>
      <c r="E3" s="11" t="s">
        <v>123</v>
      </c>
      <c r="F3" s="12">
        <v>31.998999999999999</v>
      </c>
      <c r="G3" s="13">
        <v>1.6930000000000001</v>
      </c>
      <c r="H3" s="13">
        <v>0.77</v>
      </c>
      <c r="I3" s="13"/>
      <c r="J3" s="14" t="s">
        <v>306</v>
      </c>
      <c r="N3" s="4"/>
      <c r="O3" s="5" t="s">
        <v>10</v>
      </c>
      <c r="P3" s="5">
        <v>25</v>
      </c>
      <c r="Q3" s="3" t="s">
        <v>11</v>
      </c>
    </row>
    <row r="4" spans="1:17" ht="20.100000000000001" customHeight="1" x14ac:dyDescent="0.25">
      <c r="A4" s="21" t="s">
        <v>46</v>
      </c>
      <c r="B4" s="21" t="s">
        <v>142</v>
      </c>
      <c r="C4" s="10">
        <v>45973</v>
      </c>
      <c r="D4" s="11" t="s">
        <v>16</v>
      </c>
      <c r="E4" s="11" t="s">
        <v>123</v>
      </c>
      <c r="F4" s="12">
        <v>15.712999999999999</v>
      </c>
      <c r="G4" s="13">
        <v>1.7849999999999999</v>
      </c>
      <c r="H4" s="13">
        <v>0.64400000000000002</v>
      </c>
      <c r="I4" s="13">
        <v>1.74</v>
      </c>
      <c r="J4" s="14" t="s">
        <v>306</v>
      </c>
      <c r="N4" s="4"/>
      <c r="O4" s="5" t="s">
        <v>10</v>
      </c>
      <c r="P4" s="5">
        <v>25</v>
      </c>
      <c r="Q4" s="3" t="s">
        <v>12</v>
      </c>
    </row>
    <row r="5" spans="1:17" ht="20.100000000000001" customHeight="1" x14ac:dyDescent="0.25">
      <c r="A5" s="21" t="s">
        <v>50</v>
      </c>
      <c r="B5" s="21" t="s">
        <v>146</v>
      </c>
      <c r="C5" s="10">
        <v>45973</v>
      </c>
      <c r="D5" s="11" t="s">
        <v>16</v>
      </c>
      <c r="E5" s="11" t="s">
        <v>123</v>
      </c>
      <c r="F5" s="12">
        <v>15.39</v>
      </c>
      <c r="G5" s="13">
        <v>1.847</v>
      </c>
      <c r="H5" s="13">
        <v>0.68899999999999995</v>
      </c>
      <c r="I5" s="13"/>
      <c r="J5" s="14" t="s">
        <v>306</v>
      </c>
      <c r="N5" s="4"/>
      <c r="O5" s="5" t="s">
        <v>10</v>
      </c>
      <c r="P5" s="5">
        <v>25</v>
      </c>
      <c r="Q5" s="3" t="s">
        <v>13</v>
      </c>
    </row>
    <row r="6" spans="1:17" ht="20.100000000000001" customHeight="1" x14ac:dyDescent="0.25">
      <c r="A6" s="21" t="s">
        <v>54</v>
      </c>
      <c r="B6" s="21" t="s">
        <v>150</v>
      </c>
      <c r="C6" s="10">
        <v>45973</v>
      </c>
      <c r="D6" s="11" t="s">
        <v>16</v>
      </c>
      <c r="E6" s="11" t="s">
        <v>123</v>
      </c>
      <c r="F6" s="12">
        <v>29.213999999999999</v>
      </c>
      <c r="G6" s="13">
        <v>1.83</v>
      </c>
      <c r="H6" s="13">
        <v>0.93</v>
      </c>
      <c r="I6" s="13">
        <v>30.2</v>
      </c>
      <c r="J6" s="14" t="s">
        <v>306</v>
      </c>
      <c r="N6" s="4"/>
      <c r="O6" s="5" t="s">
        <v>10</v>
      </c>
      <c r="P6" s="5">
        <v>25</v>
      </c>
      <c r="Q6" s="3" t="s">
        <v>14</v>
      </c>
    </row>
    <row r="7" spans="1:17" ht="20.100000000000001" customHeight="1" x14ac:dyDescent="0.25">
      <c r="A7" s="21" t="s">
        <v>58</v>
      </c>
      <c r="B7" s="21" t="s">
        <v>154</v>
      </c>
      <c r="C7" s="10">
        <v>45971</v>
      </c>
      <c r="D7" s="11" t="s">
        <v>16</v>
      </c>
      <c r="E7" s="11" t="s">
        <v>123</v>
      </c>
      <c r="F7" s="12">
        <v>170.1</v>
      </c>
      <c r="G7" s="13">
        <v>1.83</v>
      </c>
      <c r="H7" s="13">
        <v>1.4</v>
      </c>
      <c r="I7" s="13">
        <v>43.9</v>
      </c>
      <c r="J7" s="14" t="s">
        <v>306</v>
      </c>
    </row>
    <row r="8" spans="1:17" ht="20.100000000000001" customHeight="1" x14ac:dyDescent="0.25">
      <c r="A8" s="21" t="s">
        <v>62</v>
      </c>
      <c r="B8" s="21" t="s">
        <v>158</v>
      </c>
      <c r="C8" s="10">
        <v>45973</v>
      </c>
      <c r="D8" s="11" t="s">
        <v>16</v>
      </c>
      <c r="E8" s="11" t="s">
        <v>123</v>
      </c>
      <c r="F8" s="12">
        <v>169.98</v>
      </c>
      <c r="G8" s="13">
        <v>1.87</v>
      </c>
      <c r="H8" s="13">
        <v>1.62</v>
      </c>
      <c r="I8" s="13"/>
      <c r="J8" s="14" t="s">
        <v>306</v>
      </c>
    </row>
    <row r="9" spans="1:17" ht="20.100000000000001" customHeight="1" x14ac:dyDescent="0.25">
      <c r="A9" s="21" t="s">
        <v>66</v>
      </c>
      <c r="B9" s="21" t="s">
        <v>162</v>
      </c>
      <c r="C9" s="10">
        <v>45973</v>
      </c>
      <c r="D9" s="11" t="s">
        <v>16</v>
      </c>
      <c r="E9" s="11" t="s">
        <v>123</v>
      </c>
      <c r="F9" s="12">
        <v>152.6</v>
      </c>
      <c r="G9" s="13">
        <v>1.89</v>
      </c>
      <c r="H9" s="13">
        <v>1.52</v>
      </c>
      <c r="I9" s="13"/>
      <c r="J9" s="14" t="s">
        <v>306</v>
      </c>
    </row>
    <row r="10" spans="1:17" ht="20.100000000000001" customHeight="1" x14ac:dyDescent="0.25">
      <c r="A10" s="21" t="s">
        <v>70</v>
      </c>
      <c r="B10" s="21" t="s">
        <v>166</v>
      </c>
      <c r="C10" s="10">
        <v>45973</v>
      </c>
      <c r="D10" s="11" t="s">
        <v>16</v>
      </c>
      <c r="E10" s="11" t="s">
        <v>123</v>
      </c>
      <c r="F10" s="12">
        <v>71.489999999999995</v>
      </c>
      <c r="G10" s="13">
        <v>1.81</v>
      </c>
      <c r="H10" s="13">
        <v>1.1599999999999999</v>
      </c>
      <c r="I10" s="13">
        <v>29.8</v>
      </c>
      <c r="J10" s="14" t="s">
        <v>306</v>
      </c>
    </row>
    <row r="11" spans="1:17" ht="20.100000000000001" customHeight="1" x14ac:dyDescent="0.25">
      <c r="A11" s="21" t="s">
        <v>74</v>
      </c>
      <c r="B11" s="21" t="s">
        <v>170</v>
      </c>
      <c r="C11" s="10">
        <v>45973</v>
      </c>
      <c r="D11" s="11" t="s">
        <v>16</v>
      </c>
      <c r="E11" s="11" t="s">
        <v>123</v>
      </c>
      <c r="F11" s="12">
        <v>431.1</v>
      </c>
      <c r="G11" s="13">
        <v>1.67</v>
      </c>
      <c r="H11" s="13">
        <v>1</v>
      </c>
      <c r="I11" s="13">
        <v>10</v>
      </c>
      <c r="J11" s="14" t="s">
        <v>306</v>
      </c>
    </row>
    <row r="12" spans="1:17" ht="20.100000000000001" customHeight="1" x14ac:dyDescent="0.25">
      <c r="A12" s="21" t="s">
        <v>79</v>
      </c>
      <c r="B12" s="21" t="s">
        <v>174</v>
      </c>
      <c r="C12" s="10">
        <v>45971</v>
      </c>
      <c r="D12" s="11" t="s">
        <v>16</v>
      </c>
      <c r="E12" s="11" t="s">
        <v>123</v>
      </c>
      <c r="F12" s="12">
        <v>31.9</v>
      </c>
      <c r="G12" s="13">
        <v>1.81</v>
      </c>
      <c r="H12" s="13">
        <v>0.72</v>
      </c>
      <c r="I12" s="13"/>
      <c r="J12" s="14" t="s">
        <v>306</v>
      </c>
    </row>
    <row r="13" spans="1:17" ht="20.100000000000001" customHeight="1" x14ac:dyDescent="0.25">
      <c r="A13" s="21" t="s">
        <v>83</v>
      </c>
      <c r="B13" s="21" t="s">
        <v>178</v>
      </c>
      <c r="C13" s="10">
        <v>45974</v>
      </c>
      <c r="D13" s="11" t="s">
        <v>16</v>
      </c>
      <c r="E13" s="11" t="s">
        <v>123</v>
      </c>
      <c r="F13" s="12">
        <v>16.72</v>
      </c>
      <c r="G13" s="13">
        <v>1.68</v>
      </c>
      <c r="H13" s="13">
        <v>0.57999999999999996</v>
      </c>
      <c r="I13" s="13"/>
      <c r="J13" s="14" t="s">
        <v>306</v>
      </c>
    </row>
    <row r="14" spans="1:17" ht="20.100000000000001" customHeight="1" x14ac:dyDescent="0.25">
      <c r="A14" s="21" t="s">
        <v>87</v>
      </c>
      <c r="B14" s="21" t="s">
        <v>182</v>
      </c>
      <c r="C14" s="10">
        <v>45974</v>
      </c>
      <c r="D14" s="11" t="s">
        <v>16</v>
      </c>
      <c r="E14" s="11" t="s">
        <v>123</v>
      </c>
      <c r="F14" s="12">
        <v>23.02</v>
      </c>
      <c r="G14" s="13">
        <v>1.72</v>
      </c>
      <c r="H14" s="13">
        <v>0.84399999999999997</v>
      </c>
      <c r="I14" s="13">
        <v>3.67</v>
      </c>
      <c r="J14" s="14" t="s">
        <v>306</v>
      </c>
    </row>
    <row r="15" spans="1:17" ht="20.100000000000001" customHeight="1" x14ac:dyDescent="0.25">
      <c r="A15" s="21" t="s">
        <v>91</v>
      </c>
      <c r="B15" s="21" t="s">
        <v>186</v>
      </c>
      <c r="C15" s="15">
        <v>45974</v>
      </c>
      <c r="D15" s="11" t="s">
        <v>16</v>
      </c>
      <c r="E15" s="11" t="s">
        <v>123</v>
      </c>
      <c r="F15" s="13">
        <v>18.89</v>
      </c>
      <c r="G15" s="12">
        <v>1.61</v>
      </c>
      <c r="H15" s="13">
        <v>0.66400000000000003</v>
      </c>
      <c r="I15" s="13"/>
      <c r="J15" s="12" t="s">
        <v>306</v>
      </c>
    </row>
    <row r="16" spans="1:17" ht="20.100000000000001" customHeight="1" x14ac:dyDescent="0.25">
      <c r="A16" s="21" t="s">
        <v>95</v>
      </c>
      <c r="B16" s="21" t="s">
        <v>190</v>
      </c>
      <c r="C16" s="10">
        <v>45974</v>
      </c>
      <c r="D16" s="11" t="s">
        <v>16</v>
      </c>
      <c r="E16" s="11" t="s">
        <v>123</v>
      </c>
      <c r="F16" s="13">
        <v>20.155999999999999</v>
      </c>
      <c r="G16" s="12">
        <v>1.54</v>
      </c>
      <c r="H16" s="13">
        <v>0.625</v>
      </c>
      <c r="I16" s="13">
        <v>4.32</v>
      </c>
      <c r="J16" s="12" t="s">
        <v>306</v>
      </c>
    </row>
    <row r="17" spans="1:15" ht="20.100000000000001" customHeight="1" x14ac:dyDescent="0.25">
      <c r="A17" s="21" t="s">
        <v>99</v>
      </c>
      <c r="B17" s="21" t="s">
        <v>194</v>
      </c>
      <c r="C17" s="10">
        <v>45971</v>
      </c>
      <c r="D17" s="11" t="s">
        <v>16</v>
      </c>
      <c r="E17" s="13" t="s">
        <v>123</v>
      </c>
      <c r="F17" s="13">
        <v>186.1</v>
      </c>
      <c r="G17" s="12">
        <v>2.02</v>
      </c>
      <c r="H17" s="13">
        <v>1.71</v>
      </c>
      <c r="I17" s="13"/>
      <c r="J17" s="12" t="s">
        <v>306</v>
      </c>
    </row>
    <row r="18" spans="1:15" ht="20.100000000000001" customHeight="1" x14ac:dyDescent="0.25">
      <c r="A18" s="21" t="s">
        <v>103</v>
      </c>
      <c r="B18" s="21" t="s">
        <v>198</v>
      </c>
      <c r="C18" s="10">
        <v>45974</v>
      </c>
      <c r="D18" s="11" t="s">
        <v>16</v>
      </c>
      <c r="E18" s="11" t="s">
        <v>123</v>
      </c>
      <c r="F18" s="13">
        <v>255.33</v>
      </c>
      <c r="G18" s="12">
        <v>1.9370000000000001</v>
      </c>
      <c r="H18" s="13">
        <v>1.619</v>
      </c>
      <c r="I18" s="13">
        <v>33.6</v>
      </c>
      <c r="J18" s="42" t="s">
        <v>306</v>
      </c>
      <c r="N18" s="6" t="s">
        <v>15</v>
      </c>
    </row>
    <row r="19" spans="1:15" ht="20.100000000000001" customHeight="1" x14ac:dyDescent="0.25">
      <c r="A19" s="21" t="s">
        <v>107</v>
      </c>
      <c r="B19" s="21" t="s">
        <v>202</v>
      </c>
      <c r="C19" s="10">
        <v>45974</v>
      </c>
      <c r="D19" s="11" t="s">
        <v>16</v>
      </c>
      <c r="E19" s="11" t="s">
        <v>123</v>
      </c>
      <c r="F19" s="13">
        <v>188.636</v>
      </c>
      <c r="G19" s="12">
        <v>1.99</v>
      </c>
      <c r="H19" s="13">
        <v>1.61</v>
      </c>
      <c r="I19" s="13"/>
      <c r="J19" s="42" t="s">
        <v>306</v>
      </c>
    </row>
    <row r="20" spans="1:15" ht="20.100000000000001" customHeight="1" x14ac:dyDescent="0.25">
      <c r="A20" s="21" t="s">
        <v>111</v>
      </c>
      <c r="B20" s="21" t="s">
        <v>206</v>
      </c>
      <c r="C20" s="10">
        <v>45974</v>
      </c>
      <c r="D20" s="11" t="s">
        <v>16</v>
      </c>
      <c r="E20" s="11" t="s">
        <v>123</v>
      </c>
      <c r="F20" s="13">
        <v>58.45</v>
      </c>
      <c r="G20" s="12">
        <v>1.91</v>
      </c>
      <c r="H20" s="13">
        <v>1.36</v>
      </c>
      <c r="I20" s="13">
        <v>24.4</v>
      </c>
      <c r="J20" s="42" t="s">
        <v>306</v>
      </c>
    </row>
    <row r="21" spans="1:15" ht="20.100000000000001" customHeight="1" x14ac:dyDescent="0.25">
      <c r="A21" s="21" t="s">
        <v>115</v>
      </c>
      <c r="B21" s="21" t="s">
        <v>210</v>
      </c>
      <c r="C21" s="10">
        <v>45974</v>
      </c>
      <c r="D21" s="11" t="s">
        <v>16</v>
      </c>
      <c r="E21" s="11" t="s">
        <v>123</v>
      </c>
      <c r="F21" s="13">
        <v>301.28100000000001</v>
      </c>
      <c r="G21" s="12">
        <v>2.0019999999999998</v>
      </c>
      <c r="H21" s="13">
        <v>1.7669999999999999</v>
      </c>
      <c r="I21" s="13"/>
      <c r="J21" s="42" t="s">
        <v>306</v>
      </c>
    </row>
    <row r="22" spans="1:15" ht="20.100000000000001" hidden="1" customHeight="1" x14ac:dyDescent="0.25">
      <c r="A22" s="21" t="s">
        <v>43</v>
      </c>
      <c r="B22" s="21" t="s">
        <v>139</v>
      </c>
      <c r="C22" s="10">
        <v>45989</v>
      </c>
      <c r="D22" s="11" t="s">
        <v>18</v>
      </c>
      <c r="E22" s="11" t="s">
        <v>123</v>
      </c>
      <c r="F22" s="12">
        <v>6</v>
      </c>
      <c r="G22" s="13">
        <v>1.69</v>
      </c>
      <c r="H22" s="13">
        <v>0.51</v>
      </c>
      <c r="I22" s="13"/>
      <c r="J22" s="14" t="s">
        <v>307</v>
      </c>
    </row>
    <row r="23" spans="1:15" ht="20.100000000000001" hidden="1" customHeight="1" x14ac:dyDescent="0.25">
      <c r="A23" s="21" t="s">
        <v>21</v>
      </c>
      <c r="B23" s="21" t="s">
        <v>135</v>
      </c>
      <c r="C23" s="10">
        <v>45989</v>
      </c>
      <c r="D23" s="11" t="s">
        <v>18</v>
      </c>
      <c r="E23" s="11" t="s">
        <v>123</v>
      </c>
      <c r="F23" s="12">
        <v>5.6</v>
      </c>
      <c r="G23" s="13">
        <v>1.7</v>
      </c>
      <c r="H23" s="13">
        <v>0.48</v>
      </c>
      <c r="I23" s="13"/>
      <c r="J23" s="14" t="s">
        <v>307</v>
      </c>
      <c r="N23" s="7" t="s">
        <v>133</v>
      </c>
    </row>
    <row r="24" spans="1:15" ht="20.100000000000001" hidden="1" customHeight="1" x14ac:dyDescent="0.25">
      <c r="A24" s="21" t="s">
        <v>47</v>
      </c>
      <c r="B24" s="21" t="s">
        <v>143</v>
      </c>
      <c r="C24" s="10">
        <v>45992</v>
      </c>
      <c r="D24" s="11" t="s">
        <v>18</v>
      </c>
      <c r="E24" s="11" t="s">
        <v>123</v>
      </c>
      <c r="F24" s="12">
        <v>1.5</v>
      </c>
      <c r="G24" s="13">
        <v>0.63</v>
      </c>
      <c r="H24" s="13">
        <v>0.15</v>
      </c>
      <c r="I24" s="13">
        <v>0.21</v>
      </c>
      <c r="J24" s="14" t="s">
        <v>307</v>
      </c>
    </row>
    <row r="25" spans="1:15" ht="20.100000000000001" hidden="1" customHeight="1" x14ac:dyDescent="0.25">
      <c r="A25" s="21" t="s">
        <v>51</v>
      </c>
      <c r="B25" s="21" t="s">
        <v>147</v>
      </c>
      <c r="C25" s="10">
        <v>45992</v>
      </c>
      <c r="D25" s="11" t="s">
        <v>18</v>
      </c>
      <c r="E25" s="11" t="s">
        <v>123</v>
      </c>
      <c r="F25" s="12">
        <v>1</v>
      </c>
      <c r="G25" s="13">
        <v>0.56999999999999995</v>
      </c>
      <c r="H25" s="13">
        <v>0.12</v>
      </c>
      <c r="I25" s="13">
        <v>0.746</v>
      </c>
      <c r="J25" s="14" t="s">
        <v>307</v>
      </c>
      <c r="N25" s="27" t="s">
        <v>125</v>
      </c>
      <c r="O25" s="28" t="s">
        <v>126</v>
      </c>
    </row>
    <row r="26" spans="1:15" ht="20.100000000000001" hidden="1" customHeight="1" x14ac:dyDescent="0.25">
      <c r="A26" s="21" t="s">
        <v>55</v>
      </c>
      <c r="B26" s="21" t="s">
        <v>151</v>
      </c>
      <c r="C26" s="10">
        <v>45992</v>
      </c>
      <c r="D26" s="11" t="s">
        <v>18</v>
      </c>
      <c r="E26" s="11" t="s">
        <v>123</v>
      </c>
      <c r="F26" s="12">
        <v>5.6</v>
      </c>
      <c r="G26" s="13">
        <v>0.96</v>
      </c>
      <c r="H26" s="13">
        <v>0.21</v>
      </c>
      <c r="I26" s="13">
        <v>0.78</v>
      </c>
      <c r="J26" s="14" t="s">
        <v>307</v>
      </c>
      <c r="N26" s="27" t="s">
        <v>127</v>
      </c>
      <c r="O26" s="29" t="s">
        <v>128</v>
      </c>
    </row>
    <row r="27" spans="1:15" ht="20.100000000000001" hidden="1" customHeight="1" x14ac:dyDescent="0.25">
      <c r="A27" s="21" t="s">
        <v>59</v>
      </c>
      <c r="B27" s="21" t="s">
        <v>155</v>
      </c>
      <c r="C27" s="10">
        <v>45989</v>
      </c>
      <c r="D27" s="11" t="s">
        <v>18</v>
      </c>
      <c r="E27" s="11" t="s">
        <v>123</v>
      </c>
      <c r="F27" s="12">
        <v>7.4</v>
      </c>
      <c r="G27" s="13">
        <v>1.78</v>
      </c>
      <c r="H27" s="13">
        <v>0.57999999999999996</v>
      </c>
      <c r="I27" s="13">
        <v>0.78</v>
      </c>
      <c r="J27" s="14" t="s">
        <v>307</v>
      </c>
      <c r="N27" s="27" t="s">
        <v>129</v>
      </c>
      <c r="O27" s="29" t="s">
        <v>130</v>
      </c>
    </row>
    <row r="28" spans="1:15" ht="20.100000000000001" hidden="1" customHeight="1" x14ac:dyDescent="0.25">
      <c r="A28" s="21" t="s">
        <v>63</v>
      </c>
      <c r="B28" s="21" t="s">
        <v>159</v>
      </c>
      <c r="C28" s="10">
        <v>45989</v>
      </c>
      <c r="D28" s="11" t="s">
        <v>18</v>
      </c>
      <c r="E28" s="11" t="s">
        <v>123</v>
      </c>
      <c r="F28" s="12">
        <v>7.8</v>
      </c>
      <c r="G28" s="13">
        <v>1.66</v>
      </c>
      <c r="H28" s="13">
        <v>0.57999999999999996</v>
      </c>
      <c r="I28" s="13"/>
      <c r="J28" s="14" t="s">
        <v>307</v>
      </c>
      <c r="N28" s="27" t="s">
        <v>131</v>
      </c>
      <c r="O28" s="29" t="s">
        <v>132</v>
      </c>
    </row>
    <row r="29" spans="1:15" ht="20.100000000000001" hidden="1" customHeight="1" x14ac:dyDescent="0.25">
      <c r="A29" s="21" t="s">
        <v>67</v>
      </c>
      <c r="B29" s="21" t="s">
        <v>163</v>
      </c>
      <c r="C29" s="14">
        <v>45992</v>
      </c>
      <c r="D29" s="11" t="s">
        <v>18</v>
      </c>
      <c r="E29" s="11" t="s">
        <v>123</v>
      </c>
      <c r="F29" s="12">
        <v>1.7</v>
      </c>
      <c r="G29" s="13">
        <v>0.75</v>
      </c>
      <c r="H29" s="13">
        <v>0.35</v>
      </c>
      <c r="I29" s="13"/>
      <c r="J29" s="14" t="s">
        <v>307</v>
      </c>
    </row>
    <row r="30" spans="1:15" ht="20.100000000000001" hidden="1" customHeight="1" x14ac:dyDescent="0.25">
      <c r="A30" s="21" t="s">
        <v>71</v>
      </c>
      <c r="B30" s="21" t="s">
        <v>167</v>
      </c>
      <c r="C30" s="10">
        <v>45992</v>
      </c>
      <c r="D30" s="11" t="s">
        <v>18</v>
      </c>
      <c r="E30" s="11" t="s">
        <v>123</v>
      </c>
      <c r="F30" s="12">
        <v>5.6</v>
      </c>
      <c r="G30" s="13">
        <v>1.59</v>
      </c>
      <c r="H30" s="13">
        <v>0.95</v>
      </c>
      <c r="I30" s="13"/>
      <c r="J30" s="14" t="s">
        <v>307</v>
      </c>
    </row>
    <row r="31" spans="1:15" ht="20.100000000000001" hidden="1" customHeight="1" x14ac:dyDescent="0.25">
      <c r="A31" s="21" t="s">
        <v>75</v>
      </c>
      <c r="B31" s="21" t="s">
        <v>171</v>
      </c>
      <c r="C31" s="10">
        <v>45992</v>
      </c>
      <c r="D31" s="11" t="s">
        <v>18</v>
      </c>
      <c r="E31" s="11" t="s">
        <v>123</v>
      </c>
      <c r="F31" s="12">
        <v>1.6</v>
      </c>
      <c r="G31" s="13">
        <v>0.81</v>
      </c>
      <c r="H31" s="13">
        <v>0.2</v>
      </c>
      <c r="I31" s="13"/>
      <c r="J31" s="14" t="s">
        <v>307</v>
      </c>
    </row>
    <row r="32" spans="1:15" ht="20.100000000000001" hidden="1" customHeight="1" x14ac:dyDescent="0.25">
      <c r="A32" s="21" t="s">
        <v>80</v>
      </c>
      <c r="B32" s="21" t="s">
        <v>175</v>
      </c>
      <c r="C32" s="14">
        <v>45992</v>
      </c>
      <c r="D32" s="11" t="s">
        <v>18</v>
      </c>
      <c r="E32" s="11" t="s">
        <v>123</v>
      </c>
      <c r="F32" s="12">
        <v>0.3</v>
      </c>
      <c r="G32" s="13">
        <v>0.77</v>
      </c>
      <c r="H32" s="13">
        <v>-0.18</v>
      </c>
      <c r="I32" s="13"/>
      <c r="J32" s="43" t="s">
        <v>307</v>
      </c>
    </row>
    <row r="33" spans="1:10" ht="20.100000000000001" hidden="1" customHeight="1" x14ac:dyDescent="0.25">
      <c r="A33" s="21" t="s">
        <v>84</v>
      </c>
      <c r="B33" s="21" t="s">
        <v>179</v>
      </c>
      <c r="C33" s="10">
        <v>45992</v>
      </c>
      <c r="D33" s="11" t="s">
        <v>18</v>
      </c>
      <c r="E33" s="11" t="s">
        <v>123</v>
      </c>
      <c r="F33" s="12">
        <v>0.6</v>
      </c>
      <c r="G33" s="13">
        <v>0.53</v>
      </c>
      <c r="H33" s="13">
        <v>0.1</v>
      </c>
      <c r="I33" s="13"/>
      <c r="J33" s="14" t="s">
        <v>307</v>
      </c>
    </row>
    <row r="34" spans="1:10" ht="20.100000000000001" hidden="1" customHeight="1" x14ac:dyDescent="0.25">
      <c r="A34" s="21" t="s">
        <v>88</v>
      </c>
      <c r="B34" s="21" t="s">
        <v>183</v>
      </c>
      <c r="C34" s="10">
        <v>45993</v>
      </c>
      <c r="D34" s="11" t="s">
        <v>18</v>
      </c>
      <c r="E34" s="11" t="s">
        <v>123</v>
      </c>
      <c r="F34" s="12">
        <v>6.1</v>
      </c>
      <c r="G34" s="13">
        <v>1.73</v>
      </c>
      <c r="H34" s="13">
        <v>0.49</v>
      </c>
      <c r="I34" s="13">
        <v>0.46</v>
      </c>
      <c r="J34" s="14" t="s">
        <v>307</v>
      </c>
    </row>
    <row r="35" spans="1:10" ht="20.100000000000001" hidden="1" customHeight="1" x14ac:dyDescent="0.25">
      <c r="A35" s="21" t="s">
        <v>92</v>
      </c>
      <c r="B35" s="21" t="s">
        <v>187</v>
      </c>
      <c r="C35" s="10">
        <v>45993</v>
      </c>
      <c r="D35" s="11" t="s">
        <v>18</v>
      </c>
      <c r="E35" s="11" t="s">
        <v>123</v>
      </c>
      <c r="F35" s="13">
        <v>6.1</v>
      </c>
      <c r="G35" s="12">
        <v>2.0299999999999998</v>
      </c>
      <c r="H35" s="13">
        <v>0.52</v>
      </c>
      <c r="I35" s="13"/>
      <c r="J35" s="42" t="s">
        <v>307</v>
      </c>
    </row>
    <row r="36" spans="1:10" ht="20.100000000000001" hidden="1" customHeight="1" x14ac:dyDescent="0.25">
      <c r="A36" s="21" t="s">
        <v>96</v>
      </c>
      <c r="B36" s="21" t="s">
        <v>191</v>
      </c>
      <c r="C36" s="10">
        <v>45993</v>
      </c>
      <c r="D36" s="11" t="s">
        <v>18</v>
      </c>
      <c r="E36" s="11" t="s">
        <v>123</v>
      </c>
      <c r="F36" s="13">
        <v>6.7</v>
      </c>
      <c r="G36" s="12">
        <v>1.5</v>
      </c>
      <c r="H36" s="13">
        <v>0.42</v>
      </c>
      <c r="I36" s="13">
        <v>0.33</v>
      </c>
      <c r="J36" s="42" t="s">
        <v>307</v>
      </c>
    </row>
    <row r="37" spans="1:10" ht="20.100000000000001" hidden="1" customHeight="1" x14ac:dyDescent="0.25">
      <c r="A37" s="21" t="s">
        <v>100</v>
      </c>
      <c r="B37" s="21" t="s">
        <v>195</v>
      </c>
      <c r="C37" s="10">
        <v>45993</v>
      </c>
      <c r="D37" s="11" t="s">
        <v>18</v>
      </c>
      <c r="E37" s="11" t="s">
        <v>123</v>
      </c>
      <c r="F37" s="13">
        <v>5.8</v>
      </c>
      <c r="G37" s="12">
        <v>1.71</v>
      </c>
      <c r="H37" s="13">
        <v>0.48</v>
      </c>
      <c r="I37" s="13"/>
      <c r="J37" s="42" t="s">
        <v>307</v>
      </c>
    </row>
    <row r="38" spans="1:10" ht="20.100000000000001" hidden="1" customHeight="1" x14ac:dyDescent="0.25">
      <c r="A38" s="21" t="s">
        <v>104</v>
      </c>
      <c r="B38" s="21" t="s">
        <v>199</v>
      </c>
      <c r="C38" s="10">
        <v>45993</v>
      </c>
      <c r="D38" s="11" t="s">
        <v>18</v>
      </c>
      <c r="E38" s="11" t="s">
        <v>123</v>
      </c>
      <c r="F38" s="13">
        <v>9.3000000000000007</v>
      </c>
      <c r="G38" s="12">
        <v>1.54</v>
      </c>
      <c r="H38" s="13">
        <v>0.46</v>
      </c>
      <c r="I38" s="13">
        <v>0.121</v>
      </c>
      <c r="J38" s="42" t="s">
        <v>307</v>
      </c>
    </row>
    <row r="39" spans="1:10" ht="20.100000000000001" hidden="1" customHeight="1" x14ac:dyDescent="0.25">
      <c r="A39" s="21" t="s">
        <v>108</v>
      </c>
      <c r="B39" s="21" t="s">
        <v>203</v>
      </c>
      <c r="C39" s="10">
        <v>45993</v>
      </c>
      <c r="D39" s="11" t="s">
        <v>18</v>
      </c>
      <c r="E39" s="11" t="s">
        <v>123</v>
      </c>
      <c r="F39" s="13">
        <v>8.6</v>
      </c>
      <c r="G39" s="12">
        <v>1.88</v>
      </c>
      <c r="H39" s="13">
        <v>0.6</v>
      </c>
      <c r="I39" s="13"/>
      <c r="J39" s="42" t="s">
        <v>307</v>
      </c>
    </row>
    <row r="40" spans="1:10" ht="20.100000000000001" hidden="1" customHeight="1" x14ac:dyDescent="0.25">
      <c r="A40" s="21" t="s">
        <v>112</v>
      </c>
      <c r="B40" s="21" t="s">
        <v>207</v>
      </c>
      <c r="C40" s="10">
        <v>45993</v>
      </c>
      <c r="D40" s="11" t="s">
        <v>18</v>
      </c>
      <c r="E40" s="11" t="s">
        <v>123</v>
      </c>
      <c r="F40" s="13">
        <v>8.1999999999999993</v>
      </c>
      <c r="G40" s="12">
        <v>1.85</v>
      </c>
      <c r="H40" s="13">
        <v>0.57999999999999996</v>
      </c>
      <c r="I40" s="13">
        <v>0.28899999999999998</v>
      </c>
      <c r="J40" s="42" t="s">
        <v>307</v>
      </c>
    </row>
    <row r="41" spans="1:10" ht="20.100000000000001" hidden="1" customHeight="1" x14ac:dyDescent="0.25">
      <c r="A41" s="21" t="s">
        <v>116</v>
      </c>
      <c r="B41" s="21" t="s">
        <v>211</v>
      </c>
      <c r="C41" s="10">
        <v>45993</v>
      </c>
      <c r="D41" s="11" t="s">
        <v>18</v>
      </c>
      <c r="E41" s="11" t="s">
        <v>123</v>
      </c>
      <c r="F41" s="13">
        <v>7.3</v>
      </c>
      <c r="G41" s="12">
        <v>1.76</v>
      </c>
      <c r="H41" s="13">
        <v>0.52</v>
      </c>
      <c r="I41" s="13"/>
      <c r="J41" s="42" t="s">
        <v>307</v>
      </c>
    </row>
    <row r="42" spans="1:10" ht="20.100000000000001" hidden="1" customHeight="1" x14ac:dyDescent="0.25">
      <c r="A42" s="21" t="s">
        <v>22</v>
      </c>
      <c r="B42" s="21" t="s">
        <v>136</v>
      </c>
      <c r="C42" s="10">
        <v>45979</v>
      </c>
      <c r="D42" s="11" t="s">
        <v>7</v>
      </c>
      <c r="E42" s="11" t="s">
        <v>246</v>
      </c>
      <c r="F42" s="12">
        <v>0.51</v>
      </c>
      <c r="G42" s="13">
        <v>1.982</v>
      </c>
      <c r="H42" s="13">
        <v>0.19</v>
      </c>
      <c r="I42" s="40" t="s">
        <v>302</v>
      </c>
      <c r="J42" s="14" t="s">
        <v>307</v>
      </c>
    </row>
    <row r="43" spans="1:10" ht="20.100000000000001" hidden="1" customHeight="1" x14ac:dyDescent="0.25">
      <c r="A43" s="21" t="s">
        <v>44</v>
      </c>
      <c r="B43" s="21" t="s">
        <v>140</v>
      </c>
      <c r="C43" s="10">
        <v>45979</v>
      </c>
      <c r="D43" s="11" t="s">
        <v>7</v>
      </c>
      <c r="E43" s="11" t="s">
        <v>246</v>
      </c>
      <c r="F43" s="12">
        <v>-3.5379999999999998</v>
      </c>
      <c r="G43" s="13">
        <v>2.9380000000000002</v>
      </c>
      <c r="H43" s="13">
        <v>-0.06</v>
      </c>
      <c r="I43" s="40" t="s">
        <v>253</v>
      </c>
      <c r="J43" s="14" t="s">
        <v>307</v>
      </c>
    </row>
    <row r="44" spans="1:10" ht="20.100000000000001" customHeight="1" x14ac:dyDescent="0.25">
      <c r="A44" s="21" t="s">
        <v>49</v>
      </c>
      <c r="B44" s="21" t="s">
        <v>144</v>
      </c>
      <c r="C44" s="10">
        <v>45979</v>
      </c>
      <c r="D44" s="11" t="s">
        <v>7</v>
      </c>
      <c r="E44" s="11" t="s">
        <v>246</v>
      </c>
      <c r="F44" s="12">
        <v>10.391</v>
      </c>
      <c r="G44" s="13">
        <v>1.54</v>
      </c>
      <c r="H44" s="13">
        <v>0.29899999999999999</v>
      </c>
      <c r="I44" s="40" t="s">
        <v>253</v>
      </c>
      <c r="J44" s="14" t="s">
        <v>306</v>
      </c>
    </row>
    <row r="45" spans="1:10" ht="20.100000000000001" hidden="1" customHeight="1" x14ac:dyDescent="0.25">
      <c r="A45" s="21" t="s">
        <v>52</v>
      </c>
      <c r="B45" s="21" t="s">
        <v>148</v>
      </c>
      <c r="C45" s="10">
        <v>45979</v>
      </c>
      <c r="D45" s="11" t="s">
        <v>7</v>
      </c>
      <c r="E45" s="11" t="s">
        <v>246</v>
      </c>
      <c r="F45" s="12">
        <v>3.0939999999999999</v>
      </c>
      <c r="G45" s="13">
        <v>1.3</v>
      </c>
      <c r="H45" s="13">
        <v>4.4999999999999998E-2</v>
      </c>
      <c r="I45" s="40" t="s">
        <v>253</v>
      </c>
      <c r="J45" s="14" t="s">
        <v>307</v>
      </c>
    </row>
    <row r="46" spans="1:10" ht="20.100000000000001" hidden="1" customHeight="1" x14ac:dyDescent="0.25">
      <c r="A46" s="21" t="s">
        <v>56</v>
      </c>
      <c r="B46" s="21" t="s">
        <v>152</v>
      </c>
      <c r="C46" s="10">
        <v>45980</v>
      </c>
      <c r="D46" s="11" t="s">
        <v>7</v>
      </c>
      <c r="E46" s="11" t="s">
        <v>123</v>
      </c>
      <c r="F46" s="12">
        <v>3.3</v>
      </c>
      <c r="G46" s="13">
        <v>1.23</v>
      </c>
      <c r="H46" s="13">
        <v>0.01</v>
      </c>
      <c r="I46" s="13">
        <v>0.42899999999999999</v>
      </c>
      <c r="J46" s="14" t="s">
        <v>307</v>
      </c>
    </row>
    <row r="47" spans="1:10" ht="20.100000000000001" customHeight="1" x14ac:dyDescent="0.25">
      <c r="A47" s="21" t="s">
        <v>60</v>
      </c>
      <c r="B47" s="21" t="s">
        <v>156</v>
      </c>
      <c r="C47" s="10">
        <v>45980</v>
      </c>
      <c r="D47" s="11" t="s">
        <v>7</v>
      </c>
      <c r="E47" s="11" t="s">
        <v>123</v>
      </c>
      <c r="F47" s="12">
        <v>140.4</v>
      </c>
      <c r="G47" s="13">
        <v>1.79</v>
      </c>
      <c r="H47" s="13">
        <v>0.23</v>
      </c>
      <c r="I47" s="13">
        <v>42.7</v>
      </c>
      <c r="J47" s="14" t="s">
        <v>306</v>
      </c>
    </row>
    <row r="48" spans="1:10" ht="20.100000000000001" customHeight="1" x14ac:dyDescent="0.25">
      <c r="A48" s="21" t="s">
        <v>64</v>
      </c>
      <c r="B48" s="21" t="s">
        <v>160</v>
      </c>
      <c r="C48" s="10">
        <v>45980</v>
      </c>
      <c r="D48" s="11" t="s">
        <v>7</v>
      </c>
      <c r="E48" s="11" t="s">
        <v>247</v>
      </c>
      <c r="F48" s="12">
        <v>199</v>
      </c>
      <c r="G48" s="13">
        <v>1.68</v>
      </c>
      <c r="H48" s="13">
        <v>0.25</v>
      </c>
      <c r="I48" s="13"/>
      <c r="J48" s="14" t="s">
        <v>306</v>
      </c>
    </row>
    <row r="49" spans="1:10" ht="20.100000000000001" customHeight="1" x14ac:dyDescent="0.25">
      <c r="A49" s="21" t="s">
        <v>68</v>
      </c>
      <c r="B49" s="21" t="s">
        <v>164</v>
      </c>
      <c r="C49" s="10">
        <v>45980</v>
      </c>
      <c r="D49" s="11" t="s">
        <v>7</v>
      </c>
      <c r="E49" s="11" t="s">
        <v>247</v>
      </c>
      <c r="F49" s="12">
        <v>28.4</v>
      </c>
      <c r="G49" s="13">
        <v>1.71</v>
      </c>
      <c r="H49" s="13">
        <v>0.06</v>
      </c>
      <c r="I49" s="13"/>
      <c r="J49" s="14" t="s">
        <v>306</v>
      </c>
    </row>
    <row r="50" spans="1:10" ht="20.100000000000001" customHeight="1" x14ac:dyDescent="0.25">
      <c r="A50" s="21" t="s">
        <v>72</v>
      </c>
      <c r="B50" s="21" t="s">
        <v>168</v>
      </c>
      <c r="C50" s="10">
        <v>45981</v>
      </c>
      <c r="D50" s="11" t="s">
        <v>7</v>
      </c>
      <c r="E50" s="11" t="s">
        <v>123</v>
      </c>
      <c r="F50" s="12">
        <v>168.6</v>
      </c>
      <c r="G50" s="13">
        <v>1.54</v>
      </c>
      <c r="H50" s="13">
        <v>0.41</v>
      </c>
      <c r="I50" s="13">
        <v>4.8099999999999996</v>
      </c>
      <c r="J50" s="14" t="s">
        <v>306</v>
      </c>
    </row>
    <row r="51" spans="1:10" ht="20.100000000000001" customHeight="1" x14ac:dyDescent="0.25">
      <c r="A51" s="21" t="s">
        <v>76</v>
      </c>
      <c r="B51" s="21" t="s">
        <v>172</v>
      </c>
      <c r="C51" s="10">
        <v>45981</v>
      </c>
      <c r="D51" s="11" t="s">
        <v>7</v>
      </c>
      <c r="E51" s="11" t="s">
        <v>123</v>
      </c>
      <c r="F51" s="12">
        <v>55.7</v>
      </c>
      <c r="G51" s="13">
        <v>1.58</v>
      </c>
      <c r="H51" s="13">
        <v>0.23</v>
      </c>
      <c r="I51" s="13"/>
      <c r="J51" s="14" t="s">
        <v>306</v>
      </c>
    </row>
    <row r="52" spans="1:10" ht="20.100000000000001" customHeight="1" x14ac:dyDescent="0.25">
      <c r="A52" s="21" t="s">
        <v>81</v>
      </c>
      <c r="B52" s="21" t="s">
        <v>176</v>
      </c>
      <c r="C52" s="10">
        <v>45981</v>
      </c>
      <c r="D52" s="11" t="s">
        <v>7</v>
      </c>
      <c r="E52" s="11" t="s">
        <v>123</v>
      </c>
      <c r="F52" s="12">
        <v>18.7</v>
      </c>
      <c r="G52" s="13">
        <v>1.59</v>
      </c>
      <c r="H52" s="13">
        <v>0.1</v>
      </c>
      <c r="I52" s="13"/>
      <c r="J52" s="14" t="s">
        <v>306</v>
      </c>
    </row>
    <row r="53" spans="1:10" ht="20.100000000000001" customHeight="1" x14ac:dyDescent="0.25">
      <c r="A53" s="21" t="s">
        <v>85</v>
      </c>
      <c r="B53" s="21" t="s">
        <v>180</v>
      </c>
      <c r="C53" s="10">
        <v>45981</v>
      </c>
      <c r="D53" s="11" t="s">
        <v>7</v>
      </c>
      <c r="E53" s="11" t="s">
        <v>123</v>
      </c>
      <c r="F53" s="12">
        <v>11.2</v>
      </c>
      <c r="G53" s="13">
        <v>1.62</v>
      </c>
      <c r="H53" s="13">
        <v>0.3</v>
      </c>
      <c r="I53" s="13"/>
      <c r="J53" s="14" t="s">
        <v>306</v>
      </c>
    </row>
    <row r="54" spans="1:10" ht="20.100000000000001" customHeight="1" x14ac:dyDescent="0.25">
      <c r="A54" s="21" t="s">
        <v>89</v>
      </c>
      <c r="B54" s="21" t="s">
        <v>184</v>
      </c>
      <c r="C54" s="10">
        <v>45982</v>
      </c>
      <c r="D54" s="11" t="s">
        <v>7</v>
      </c>
      <c r="E54" s="11" t="s">
        <v>123</v>
      </c>
      <c r="F54" s="12">
        <v>46.6</v>
      </c>
      <c r="G54" s="13">
        <v>1.55</v>
      </c>
      <c r="H54" s="13">
        <v>0.27</v>
      </c>
      <c r="I54" s="40" t="s">
        <v>253</v>
      </c>
      <c r="J54" s="14" t="s">
        <v>306</v>
      </c>
    </row>
    <row r="55" spans="1:10" ht="20.100000000000001" customHeight="1" x14ac:dyDescent="0.25">
      <c r="A55" s="21" t="s">
        <v>93</v>
      </c>
      <c r="B55" s="21" t="s">
        <v>188</v>
      </c>
      <c r="C55" s="10">
        <v>45982</v>
      </c>
      <c r="D55" s="11" t="s">
        <v>7</v>
      </c>
      <c r="E55" s="11" t="s">
        <v>123</v>
      </c>
      <c r="F55" s="13">
        <v>19.28</v>
      </c>
      <c r="G55" s="12">
        <v>1.56</v>
      </c>
      <c r="H55" s="13">
        <v>0.52</v>
      </c>
      <c r="I55" s="13"/>
      <c r="J55" s="42" t="s">
        <v>306</v>
      </c>
    </row>
    <row r="56" spans="1:10" ht="20.100000000000001" hidden="1" customHeight="1" x14ac:dyDescent="0.25">
      <c r="A56" s="21" t="s">
        <v>97</v>
      </c>
      <c r="B56" s="21" t="s">
        <v>192</v>
      </c>
      <c r="C56" s="10">
        <v>45982</v>
      </c>
      <c r="D56" s="11" t="s">
        <v>7</v>
      </c>
      <c r="E56" s="11" t="s">
        <v>123</v>
      </c>
      <c r="F56" s="13">
        <v>9.2899999999999991</v>
      </c>
      <c r="G56" s="12">
        <v>1.58</v>
      </c>
      <c r="H56" s="13">
        <v>0.2</v>
      </c>
      <c r="I56" s="13">
        <v>0.18</v>
      </c>
      <c r="J56" s="42" t="s">
        <v>307</v>
      </c>
    </row>
    <row r="57" spans="1:10" ht="20.100000000000001" hidden="1" customHeight="1" x14ac:dyDescent="0.25">
      <c r="A57" s="21" t="s">
        <v>101</v>
      </c>
      <c r="B57" s="21" t="s">
        <v>196</v>
      </c>
      <c r="C57" s="10">
        <v>45982</v>
      </c>
      <c r="D57" s="11" t="s">
        <v>7</v>
      </c>
      <c r="E57" s="13" t="s">
        <v>123</v>
      </c>
      <c r="F57" s="13">
        <v>1.79</v>
      </c>
      <c r="G57" s="12">
        <v>1.08</v>
      </c>
      <c r="H57" s="13">
        <v>0.18</v>
      </c>
      <c r="I57" s="13"/>
      <c r="J57" s="12" t="s">
        <v>307</v>
      </c>
    </row>
    <row r="58" spans="1:10" ht="20.100000000000001" hidden="1" customHeight="1" x14ac:dyDescent="0.25">
      <c r="A58" s="21" t="s">
        <v>105</v>
      </c>
      <c r="B58" s="21" t="s">
        <v>200</v>
      </c>
      <c r="C58" s="10">
        <v>45982</v>
      </c>
      <c r="D58" s="11" t="s">
        <v>7</v>
      </c>
      <c r="E58" s="11" t="s">
        <v>123</v>
      </c>
      <c r="F58" s="13">
        <v>1.76</v>
      </c>
      <c r="G58" s="12">
        <v>1.25</v>
      </c>
      <c r="H58" s="13">
        <v>0.05</v>
      </c>
      <c r="I58" s="40" t="s">
        <v>253</v>
      </c>
      <c r="J58" s="12" t="s">
        <v>307</v>
      </c>
    </row>
    <row r="59" spans="1:10" ht="20.100000000000001" hidden="1" customHeight="1" x14ac:dyDescent="0.25">
      <c r="A59" s="21" t="s">
        <v>109</v>
      </c>
      <c r="B59" s="21" t="s">
        <v>204</v>
      </c>
      <c r="C59" s="10">
        <v>45982</v>
      </c>
      <c r="D59" s="11" t="s">
        <v>7</v>
      </c>
      <c r="E59" s="11" t="s">
        <v>123</v>
      </c>
      <c r="F59" s="13">
        <v>-0.5</v>
      </c>
      <c r="G59" s="12">
        <v>0.35</v>
      </c>
      <c r="H59" s="13">
        <v>0</v>
      </c>
      <c r="I59" s="13"/>
      <c r="J59" s="12" t="s">
        <v>307</v>
      </c>
    </row>
    <row r="60" spans="1:10" ht="20.100000000000001" hidden="1" customHeight="1" x14ac:dyDescent="0.25">
      <c r="A60" s="21" t="s">
        <v>113</v>
      </c>
      <c r="B60" s="21" t="s">
        <v>208</v>
      </c>
      <c r="C60" s="10">
        <v>45982</v>
      </c>
      <c r="D60" s="11" t="s">
        <v>7</v>
      </c>
      <c r="E60" s="11" t="s">
        <v>123</v>
      </c>
      <c r="F60" s="13">
        <v>0.97</v>
      </c>
      <c r="G60" s="12">
        <v>0.72</v>
      </c>
      <c r="H60" s="13">
        <v>0.02</v>
      </c>
      <c r="I60" s="40" t="s">
        <v>253</v>
      </c>
      <c r="J60" s="12" t="s">
        <v>307</v>
      </c>
    </row>
    <row r="61" spans="1:10" ht="20.100000000000001" hidden="1" customHeight="1" x14ac:dyDescent="0.25">
      <c r="A61" s="21" t="s">
        <v>117</v>
      </c>
      <c r="B61" s="21" t="s">
        <v>212</v>
      </c>
      <c r="C61" s="10">
        <v>45982</v>
      </c>
      <c r="D61" s="11" t="s">
        <v>7</v>
      </c>
      <c r="E61" s="11" t="s">
        <v>123</v>
      </c>
      <c r="F61" s="13">
        <v>0.08</v>
      </c>
      <c r="G61" s="12">
        <v>-2.08</v>
      </c>
      <c r="H61" s="13">
        <v>0.01</v>
      </c>
      <c r="I61" s="13"/>
      <c r="J61" s="12" t="s">
        <v>307</v>
      </c>
    </row>
    <row r="62" spans="1:10" ht="20.100000000000001" customHeight="1" x14ac:dyDescent="0.25">
      <c r="A62" s="21" t="s">
        <v>23</v>
      </c>
      <c r="B62" s="21" t="s">
        <v>137</v>
      </c>
      <c r="C62" s="10">
        <v>45987</v>
      </c>
      <c r="D62" s="11" t="s">
        <v>17</v>
      </c>
      <c r="E62" s="11" t="s">
        <v>123</v>
      </c>
      <c r="F62" s="12">
        <v>18.8</v>
      </c>
      <c r="G62" s="13">
        <v>1.54</v>
      </c>
      <c r="H62" s="13">
        <v>0.15</v>
      </c>
      <c r="I62" s="13"/>
      <c r="J62" s="10" t="s">
        <v>306</v>
      </c>
    </row>
    <row r="63" spans="1:10" ht="20.100000000000001" hidden="1" customHeight="1" x14ac:dyDescent="0.25">
      <c r="A63" s="21" t="s">
        <v>45</v>
      </c>
      <c r="B63" s="21" t="s">
        <v>141</v>
      </c>
      <c r="C63" s="10">
        <v>45987</v>
      </c>
      <c r="D63" s="11" t="s">
        <v>17</v>
      </c>
      <c r="E63" s="11" t="s">
        <v>123</v>
      </c>
      <c r="F63" s="12">
        <v>0.5</v>
      </c>
      <c r="G63" s="13">
        <v>4.8099999999999996</v>
      </c>
      <c r="H63" s="13">
        <v>0</v>
      </c>
      <c r="I63" s="13"/>
      <c r="J63" s="10" t="s">
        <v>307</v>
      </c>
    </row>
    <row r="64" spans="1:10" ht="20.100000000000001" hidden="1" customHeight="1" x14ac:dyDescent="0.25">
      <c r="A64" s="21" t="s">
        <v>48</v>
      </c>
      <c r="B64" s="21" t="s">
        <v>145</v>
      </c>
      <c r="C64" s="10">
        <v>45987</v>
      </c>
      <c r="D64" s="11" t="s">
        <v>17</v>
      </c>
      <c r="E64" s="11" t="s">
        <v>123</v>
      </c>
      <c r="F64" s="12">
        <v>2.5</v>
      </c>
      <c r="G64" s="13">
        <v>1.33</v>
      </c>
      <c r="H64" s="13">
        <v>0.02</v>
      </c>
      <c r="I64" s="40" t="s">
        <v>302</v>
      </c>
      <c r="J64" s="10" t="s">
        <v>307</v>
      </c>
    </row>
    <row r="65" spans="1:10" ht="20.100000000000001" customHeight="1" x14ac:dyDescent="0.25">
      <c r="A65" s="21" t="s">
        <v>53</v>
      </c>
      <c r="B65" s="21" t="s">
        <v>149</v>
      </c>
      <c r="C65" s="41">
        <v>45987</v>
      </c>
      <c r="D65" s="11" t="s">
        <v>17</v>
      </c>
      <c r="E65" s="11" t="s">
        <v>123</v>
      </c>
      <c r="F65" s="12">
        <v>27.4</v>
      </c>
      <c r="G65" s="13">
        <v>1.54</v>
      </c>
      <c r="H65" s="13">
        <v>0.24</v>
      </c>
      <c r="I65" s="13"/>
      <c r="J65" s="10" t="s">
        <v>306</v>
      </c>
    </row>
    <row r="66" spans="1:10" ht="20.100000000000001" customHeight="1" x14ac:dyDescent="0.25">
      <c r="A66" s="21" t="s">
        <v>57</v>
      </c>
      <c r="B66" s="21" t="s">
        <v>153</v>
      </c>
      <c r="C66" s="41">
        <v>45987</v>
      </c>
      <c r="D66" s="11" t="s">
        <v>17</v>
      </c>
      <c r="E66" s="11" t="s">
        <v>123</v>
      </c>
      <c r="F66" s="12">
        <v>10.4</v>
      </c>
      <c r="G66" s="13">
        <v>1.41</v>
      </c>
      <c r="H66" s="13">
        <v>0.4</v>
      </c>
      <c r="I66" s="13">
        <v>6.8000000000000005E-2</v>
      </c>
      <c r="J66" s="41" t="s">
        <v>306</v>
      </c>
    </row>
    <row r="67" spans="1:10" ht="20.100000000000001" customHeight="1" x14ac:dyDescent="0.25">
      <c r="A67" s="21" t="s">
        <v>61</v>
      </c>
      <c r="B67" s="21" t="s">
        <v>157</v>
      </c>
      <c r="C67" s="10">
        <v>45986</v>
      </c>
      <c r="D67" s="11" t="s">
        <v>17</v>
      </c>
      <c r="E67" s="11" t="s">
        <v>123</v>
      </c>
      <c r="F67" s="12">
        <v>121.4</v>
      </c>
      <c r="G67" s="13">
        <v>1.89</v>
      </c>
      <c r="H67" s="13">
        <v>0.27</v>
      </c>
      <c r="I67" s="13">
        <v>45.4</v>
      </c>
      <c r="J67" s="10" t="s">
        <v>306</v>
      </c>
    </row>
    <row r="68" spans="1:10" ht="20.100000000000001" customHeight="1" x14ac:dyDescent="0.25">
      <c r="A68" s="21" t="s">
        <v>65</v>
      </c>
      <c r="B68" s="21" t="s">
        <v>161</v>
      </c>
      <c r="C68" s="10">
        <v>45986</v>
      </c>
      <c r="D68" s="11" t="s">
        <v>17</v>
      </c>
      <c r="E68" s="11" t="s">
        <v>123</v>
      </c>
      <c r="F68" s="12">
        <v>20.100000000000001</v>
      </c>
      <c r="G68" s="13">
        <v>1.89</v>
      </c>
      <c r="H68" s="13">
        <v>0.27</v>
      </c>
      <c r="I68" s="13"/>
      <c r="J68" s="10" t="s">
        <v>306</v>
      </c>
    </row>
    <row r="69" spans="1:10" ht="20.100000000000001" customHeight="1" x14ac:dyDescent="0.25">
      <c r="A69" s="21" t="s">
        <v>69</v>
      </c>
      <c r="B69" s="21" t="s">
        <v>165</v>
      </c>
      <c r="C69" s="10">
        <v>46352</v>
      </c>
      <c r="D69" s="11" t="s">
        <v>17</v>
      </c>
      <c r="E69" s="11" t="s">
        <v>123</v>
      </c>
      <c r="F69" s="12">
        <v>28.4</v>
      </c>
      <c r="G69" s="13">
        <v>1.51</v>
      </c>
      <c r="H69" s="13">
        <v>0.2</v>
      </c>
      <c r="I69" s="13"/>
      <c r="J69" s="10" t="s">
        <v>306</v>
      </c>
    </row>
    <row r="70" spans="1:10" ht="20.100000000000001" customHeight="1" x14ac:dyDescent="0.25">
      <c r="A70" s="21" t="s">
        <v>73</v>
      </c>
      <c r="B70" s="21" t="s">
        <v>169</v>
      </c>
      <c r="C70" s="10">
        <v>45987</v>
      </c>
      <c r="D70" s="11" t="s">
        <v>17</v>
      </c>
      <c r="E70" s="11" t="s">
        <v>123</v>
      </c>
      <c r="F70" s="12">
        <v>27.1</v>
      </c>
      <c r="G70" s="13">
        <v>1.58</v>
      </c>
      <c r="H70" s="13">
        <v>0.61</v>
      </c>
      <c r="I70" s="13">
        <v>3.95</v>
      </c>
      <c r="J70" s="10" t="s">
        <v>306</v>
      </c>
    </row>
    <row r="71" spans="1:10" ht="20.100000000000001" customHeight="1" x14ac:dyDescent="0.25">
      <c r="A71" s="21" t="s">
        <v>77</v>
      </c>
      <c r="B71" s="21" t="s">
        <v>173</v>
      </c>
      <c r="C71" s="10">
        <v>45987</v>
      </c>
      <c r="D71" s="11" t="s">
        <v>17</v>
      </c>
      <c r="E71" s="11" t="s">
        <v>123</v>
      </c>
      <c r="F71" s="12">
        <v>21</v>
      </c>
      <c r="G71" s="13">
        <v>1.61</v>
      </c>
      <c r="H71" s="13">
        <v>0.23</v>
      </c>
      <c r="I71" s="13"/>
      <c r="J71" s="10" t="s">
        <v>306</v>
      </c>
    </row>
    <row r="72" spans="1:10" ht="20.100000000000001" customHeight="1" x14ac:dyDescent="0.25">
      <c r="A72" s="21" t="s">
        <v>82</v>
      </c>
      <c r="B72" s="21" t="s">
        <v>177</v>
      </c>
      <c r="C72" s="10">
        <v>45985</v>
      </c>
      <c r="D72" s="11" t="s">
        <v>17</v>
      </c>
      <c r="E72" s="11" t="s">
        <v>123</v>
      </c>
      <c r="F72" s="12">
        <v>6</v>
      </c>
      <c r="G72" s="13">
        <v>1.93</v>
      </c>
      <c r="H72" s="13">
        <v>0.01</v>
      </c>
      <c r="I72" s="13"/>
      <c r="J72" s="10" t="s">
        <v>306</v>
      </c>
    </row>
    <row r="73" spans="1:10" ht="20.100000000000001" hidden="1" customHeight="1" x14ac:dyDescent="0.25">
      <c r="A73" s="21" t="s">
        <v>86</v>
      </c>
      <c r="B73" s="21" t="s">
        <v>181</v>
      </c>
      <c r="C73" s="10">
        <v>45986</v>
      </c>
      <c r="D73" s="11" t="s">
        <v>17</v>
      </c>
      <c r="E73" s="11" t="s">
        <v>123</v>
      </c>
      <c r="F73" s="12">
        <v>1</v>
      </c>
      <c r="G73" s="13">
        <v>-1.56</v>
      </c>
      <c r="H73" s="13">
        <v>0</v>
      </c>
      <c r="I73" s="13"/>
      <c r="J73" s="10" t="s">
        <v>307</v>
      </c>
    </row>
    <row r="74" spans="1:10" ht="20.100000000000001" hidden="1" customHeight="1" x14ac:dyDescent="0.25">
      <c r="A74" s="21" t="s">
        <v>90</v>
      </c>
      <c r="B74" s="21" t="s">
        <v>185</v>
      </c>
      <c r="C74" s="10">
        <v>45986</v>
      </c>
      <c r="D74" s="11" t="s">
        <v>17</v>
      </c>
      <c r="E74" s="11" t="s">
        <v>123</v>
      </c>
      <c r="F74" s="12">
        <v>1.4</v>
      </c>
      <c r="G74" s="13">
        <v>2.83</v>
      </c>
      <c r="H74" s="13">
        <v>0.01</v>
      </c>
      <c r="I74" s="40" t="s">
        <v>253</v>
      </c>
      <c r="J74" s="10" t="s">
        <v>307</v>
      </c>
    </row>
    <row r="75" spans="1:10" ht="20.100000000000001" hidden="1" customHeight="1" x14ac:dyDescent="0.25">
      <c r="A75" s="21" t="s">
        <v>94</v>
      </c>
      <c r="B75" s="21" t="s">
        <v>189</v>
      </c>
      <c r="C75" s="10">
        <v>45986</v>
      </c>
      <c r="D75" s="11" t="s">
        <v>17</v>
      </c>
      <c r="E75" s="11" t="s">
        <v>123</v>
      </c>
      <c r="F75" s="13">
        <v>2.1</v>
      </c>
      <c r="G75" s="12">
        <v>21.21</v>
      </c>
      <c r="H75" s="13">
        <v>0</v>
      </c>
      <c r="I75" s="13"/>
      <c r="J75" s="12" t="s">
        <v>307</v>
      </c>
    </row>
    <row r="76" spans="1:10" ht="20.100000000000001" hidden="1" customHeight="1" x14ac:dyDescent="0.25">
      <c r="A76" s="21" t="s">
        <v>98</v>
      </c>
      <c r="B76" s="21" t="s">
        <v>193</v>
      </c>
      <c r="C76" s="10">
        <v>45986</v>
      </c>
      <c r="D76" s="11" t="s">
        <v>17</v>
      </c>
      <c r="E76" s="11" t="s">
        <v>123</v>
      </c>
      <c r="F76" s="13">
        <v>2.2999999999999998</v>
      </c>
      <c r="G76" s="12">
        <v>-5.01</v>
      </c>
      <c r="H76" s="13">
        <v>0</v>
      </c>
      <c r="I76" s="13">
        <v>0.115</v>
      </c>
      <c r="J76" s="12" t="s">
        <v>307</v>
      </c>
    </row>
    <row r="77" spans="1:10" ht="20.100000000000001" customHeight="1" x14ac:dyDescent="0.25">
      <c r="A77" s="21" t="s">
        <v>102</v>
      </c>
      <c r="B77" s="21" t="s">
        <v>197</v>
      </c>
      <c r="C77" s="10">
        <v>45985</v>
      </c>
      <c r="D77" s="11" t="s">
        <v>17</v>
      </c>
      <c r="E77" s="13" t="s">
        <v>123</v>
      </c>
      <c r="F77" s="13">
        <v>36.1</v>
      </c>
      <c r="G77" s="12">
        <v>1.53</v>
      </c>
      <c r="H77" s="13">
        <v>0.45</v>
      </c>
      <c r="I77" s="13"/>
      <c r="J77" s="12" t="s">
        <v>306</v>
      </c>
    </row>
    <row r="78" spans="1:10" ht="20.100000000000001" customHeight="1" x14ac:dyDescent="0.25">
      <c r="A78" s="21" t="s">
        <v>106</v>
      </c>
      <c r="B78" s="21" t="s">
        <v>201</v>
      </c>
      <c r="C78" s="10">
        <v>45985</v>
      </c>
      <c r="D78" s="11" t="s">
        <v>17</v>
      </c>
      <c r="E78" s="11" t="s">
        <v>123</v>
      </c>
      <c r="F78" s="13">
        <v>6.4</v>
      </c>
      <c r="G78" s="12">
        <v>1.61</v>
      </c>
      <c r="H78" s="13">
        <v>0.2</v>
      </c>
      <c r="I78" s="40" t="s">
        <v>253</v>
      </c>
      <c r="J78" s="12" t="s">
        <v>306</v>
      </c>
    </row>
    <row r="79" spans="1:10" ht="20.100000000000001" customHeight="1" x14ac:dyDescent="0.25">
      <c r="A79" s="21" t="s">
        <v>110</v>
      </c>
      <c r="B79" s="21" t="s">
        <v>205</v>
      </c>
      <c r="C79" s="10">
        <v>45985</v>
      </c>
      <c r="D79" s="11" t="s">
        <v>17</v>
      </c>
      <c r="E79" s="11" t="s">
        <v>123</v>
      </c>
      <c r="F79" s="13">
        <v>54.5</v>
      </c>
      <c r="G79" s="12">
        <v>1.56</v>
      </c>
      <c r="H79" s="13">
        <v>0.13</v>
      </c>
      <c r="I79" s="13"/>
      <c r="J79" s="12" t="s">
        <v>306</v>
      </c>
    </row>
    <row r="80" spans="1:10" ht="20.100000000000001" customHeight="1" x14ac:dyDescent="0.25">
      <c r="A80" s="21" t="s">
        <v>114</v>
      </c>
      <c r="B80" s="21" t="s">
        <v>209</v>
      </c>
      <c r="C80" s="10">
        <v>45985</v>
      </c>
      <c r="D80" s="11" t="s">
        <v>17</v>
      </c>
      <c r="E80" s="11" t="s">
        <v>123</v>
      </c>
      <c r="F80" s="13">
        <v>15.9</v>
      </c>
      <c r="G80" s="12">
        <v>1.53</v>
      </c>
      <c r="H80" s="13">
        <v>0.43</v>
      </c>
      <c r="I80" s="13">
        <v>5.0999999999999997E-2</v>
      </c>
      <c r="J80" s="12" t="s">
        <v>306</v>
      </c>
    </row>
    <row r="81" spans="1:10" ht="20.100000000000001" customHeight="1" x14ac:dyDescent="0.25">
      <c r="A81" s="21" t="s">
        <v>118</v>
      </c>
      <c r="B81" s="21" t="s">
        <v>213</v>
      </c>
      <c r="C81" s="10">
        <v>45985</v>
      </c>
      <c r="D81" s="11" t="s">
        <v>17</v>
      </c>
      <c r="E81" s="11" t="s">
        <v>123</v>
      </c>
      <c r="F81" s="13">
        <v>49.2</v>
      </c>
      <c r="G81" s="12">
        <v>1.51</v>
      </c>
      <c r="H81" s="13">
        <v>0.47</v>
      </c>
      <c r="I81" s="13"/>
      <c r="J81" s="12" t="s">
        <v>306</v>
      </c>
    </row>
  </sheetData>
  <mergeCells count="1">
    <mergeCell ref="N1:Q1"/>
  </mergeCells>
  <phoneticPr fontId="7" type="noConversion"/>
  <pageMargins left="0.7" right="0.7" top="0.75" bottom="0.75" header="0.511811023622047" footer="0.511811023622047"/>
  <pageSetup paperSize="9" scale="29" orientation="landscape" verticalDpi="3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AE07493A-2097-4276-A8C5-97A3204AA079}">
            <x14:iconSet custom="1">
              <x14:cfvo type="percent">
                <xm:f>0</xm:f>
              </x14:cfvo>
              <x14:cfvo type="num">
                <xm:f>5</xm:f>
              </x14:cfvo>
              <x14:cfvo type="num">
                <xm:f>10</xm:f>
              </x14:cfvo>
              <x14:cfIcon iconSet="3Symbols" iconId="0"/>
              <x14:cfIcon iconSet="3Symbols" iconId="1"/>
              <x14:cfIcon iconSet="3Symbols" iconId="2"/>
            </x14:iconSet>
          </x14:cfRule>
          <xm:sqref>F1:F1048576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E007D-DFE9-4AFE-8CB6-E20BD28C6CC0}">
  <sheetPr>
    <tabColor rgb="FFFF0000"/>
  </sheetPr>
  <dimension ref="A1:J46"/>
  <sheetViews>
    <sheetView zoomScale="115" zoomScaleNormal="115" workbookViewId="0">
      <selection activeCell="J21" sqref="J21"/>
    </sheetView>
  </sheetViews>
  <sheetFormatPr baseColWidth="10" defaultRowHeight="20.100000000000001" customHeight="1" x14ac:dyDescent="0.25"/>
  <cols>
    <col min="2" max="4" width="15.7109375" customWidth="1"/>
    <col min="5" max="5" width="15.7109375" bestFit="1" customWidth="1"/>
    <col min="7" max="7" width="10.7109375" bestFit="1" customWidth="1"/>
    <col min="8" max="8" width="10" bestFit="1" customWidth="1"/>
    <col min="9" max="9" width="12.42578125" bestFit="1" customWidth="1"/>
  </cols>
  <sheetData>
    <row r="1" spans="1:10" ht="25.5" customHeight="1" x14ac:dyDescent="0.25">
      <c r="A1" s="53" t="s">
        <v>122</v>
      </c>
      <c r="B1" s="53" t="s">
        <v>124</v>
      </c>
      <c r="C1" s="59" t="s">
        <v>24</v>
      </c>
      <c r="D1" s="59" t="s">
        <v>25</v>
      </c>
      <c r="E1" s="60" t="s">
        <v>2</v>
      </c>
      <c r="G1" s="45" t="s">
        <v>24</v>
      </c>
      <c r="H1" s="44" t="s">
        <v>25</v>
      </c>
      <c r="I1" s="45" t="s">
        <v>2</v>
      </c>
      <c r="J1" s="44" t="s">
        <v>310</v>
      </c>
    </row>
    <row r="2" spans="1:10" ht="20.100000000000001" customHeight="1" x14ac:dyDescent="0.25">
      <c r="A2" s="51" t="s">
        <v>20</v>
      </c>
      <c r="B2" s="51" t="s">
        <v>134</v>
      </c>
      <c r="C2" s="54" t="s">
        <v>26</v>
      </c>
      <c r="D2" s="54" t="s">
        <v>120</v>
      </c>
      <c r="E2" s="48" t="s">
        <v>16</v>
      </c>
      <c r="G2" s="24" t="s">
        <v>26</v>
      </c>
      <c r="H2" s="24" t="s">
        <v>120</v>
      </c>
      <c r="I2" s="24" t="s">
        <v>309</v>
      </c>
      <c r="J2" s="24">
        <v>5</v>
      </c>
    </row>
    <row r="3" spans="1:10" ht="20.100000000000001" customHeight="1" x14ac:dyDescent="0.25">
      <c r="A3" s="52" t="s">
        <v>42</v>
      </c>
      <c r="B3" s="52" t="s">
        <v>138</v>
      </c>
      <c r="C3" s="55" t="s">
        <v>26</v>
      </c>
      <c r="D3" s="55" t="s">
        <v>120</v>
      </c>
      <c r="E3" s="49" t="s">
        <v>16</v>
      </c>
      <c r="G3" s="24" t="s">
        <v>26</v>
      </c>
      <c r="H3" s="24" t="s">
        <v>78</v>
      </c>
      <c r="I3" s="24" t="s">
        <v>309</v>
      </c>
      <c r="J3" s="24">
        <v>5</v>
      </c>
    </row>
    <row r="4" spans="1:10" ht="20.100000000000001" customHeight="1" x14ac:dyDescent="0.25">
      <c r="A4" s="51" t="s">
        <v>46</v>
      </c>
      <c r="B4" s="51" t="s">
        <v>142</v>
      </c>
      <c r="C4" s="54" t="s">
        <v>26</v>
      </c>
      <c r="D4" s="54" t="s">
        <v>120</v>
      </c>
      <c r="E4" s="48" t="s">
        <v>16</v>
      </c>
      <c r="G4" s="24" t="s">
        <v>39</v>
      </c>
      <c r="H4" s="24" t="s">
        <v>120</v>
      </c>
      <c r="I4" s="24" t="s">
        <v>309</v>
      </c>
      <c r="J4" s="24">
        <v>5</v>
      </c>
    </row>
    <row r="5" spans="1:10" ht="20.100000000000001" customHeight="1" x14ac:dyDescent="0.25">
      <c r="A5" s="52" t="s">
        <v>50</v>
      </c>
      <c r="B5" s="52" t="s">
        <v>146</v>
      </c>
      <c r="C5" s="55" t="s">
        <v>26</v>
      </c>
      <c r="D5" s="55" t="s">
        <v>120</v>
      </c>
      <c r="E5" s="49" t="s">
        <v>16</v>
      </c>
      <c r="G5" s="24" t="s">
        <v>39</v>
      </c>
      <c r="H5" s="24" t="s">
        <v>311</v>
      </c>
      <c r="I5" s="24" t="s">
        <v>309</v>
      </c>
      <c r="J5" s="24">
        <v>5</v>
      </c>
    </row>
    <row r="6" spans="1:10" ht="20.100000000000001" customHeight="1" x14ac:dyDescent="0.25">
      <c r="A6" s="51" t="s">
        <v>54</v>
      </c>
      <c r="B6" s="51" t="s">
        <v>150</v>
      </c>
      <c r="C6" s="54" t="s">
        <v>26</v>
      </c>
      <c r="D6" s="54" t="s">
        <v>120</v>
      </c>
      <c r="E6" s="48" t="s">
        <v>16</v>
      </c>
      <c r="G6" s="62" t="s">
        <v>26</v>
      </c>
      <c r="H6" s="62" t="s">
        <v>120</v>
      </c>
      <c r="I6" s="62" t="s">
        <v>312</v>
      </c>
      <c r="J6" s="63">
        <v>1</v>
      </c>
    </row>
    <row r="7" spans="1:10" ht="20.100000000000001" customHeight="1" x14ac:dyDescent="0.25">
      <c r="A7" s="52" t="s">
        <v>58</v>
      </c>
      <c r="B7" s="52" t="s">
        <v>154</v>
      </c>
      <c r="C7" s="55" t="s">
        <v>26</v>
      </c>
      <c r="D7" s="55" t="s">
        <v>78</v>
      </c>
      <c r="E7" s="49" t="s">
        <v>16</v>
      </c>
      <c r="G7" s="24" t="s">
        <v>26</v>
      </c>
      <c r="H7" s="24" t="s">
        <v>78</v>
      </c>
      <c r="I7" s="24" t="s">
        <v>312</v>
      </c>
      <c r="J7" s="24">
        <v>5</v>
      </c>
    </row>
    <row r="8" spans="1:10" ht="20.100000000000001" customHeight="1" x14ac:dyDescent="0.25">
      <c r="A8" s="51" t="s">
        <v>62</v>
      </c>
      <c r="B8" s="51" t="s">
        <v>158</v>
      </c>
      <c r="C8" s="54" t="s">
        <v>26</v>
      </c>
      <c r="D8" s="54" t="s">
        <v>78</v>
      </c>
      <c r="E8" s="48" t="s">
        <v>16</v>
      </c>
      <c r="G8" s="24" t="s">
        <v>39</v>
      </c>
      <c r="H8" s="24" t="s">
        <v>120</v>
      </c>
      <c r="I8" s="24" t="s">
        <v>312</v>
      </c>
      <c r="J8" s="24">
        <v>4</v>
      </c>
    </row>
    <row r="9" spans="1:10" ht="20.100000000000001" customHeight="1" x14ac:dyDescent="0.25">
      <c r="A9" s="52" t="s">
        <v>66</v>
      </c>
      <c r="B9" s="52" t="s">
        <v>162</v>
      </c>
      <c r="C9" s="55" t="s">
        <v>26</v>
      </c>
      <c r="D9" s="55" t="s">
        <v>78</v>
      </c>
      <c r="E9" s="49" t="s">
        <v>16</v>
      </c>
      <c r="G9" s="61" t="s">
        <v>39</v>
      </c>
      <c r="H9" s="61" t="s">
        <v>311</v>
      </c>
      <c r="I9" s="61" t="s">
        <v>312</v>
      </c>
      <c r="J9" s="64">
        <v>0</v>
      </c>
    </row>
    <row r="10" spans="1:10" ht="20.100000000000001" customHeight="1" x14ac:dyDescent="0.25">
      <c r="A10" s="51" t="s">
        <v>70</v>
      </c>
      <c r="B10" s="51" t="s">
        <v>166</v>
      </c>
      <c r="C10" s="54" t="s">
        <v>26</v>
      </c>
      <c r="D10" s="54" t="s">
        <v>78</v>
      </c>
      <c r="E10" s="48" t="s">
        <v>16</v>
      </c>
      <c r="G10" s="24" t="s">
        <v>26</v>
      </c>
      <c r="H10" s="24" t="s">
        <v>120</v>
      </c>
      <c r="I10" s="24" t="s">
        <v>313</v>
      </c>
      <c r="J10" s="24">
        <v>3</v>
      </c>
    </row>
    <row r="11" spans="1:10" ht="20.100000000000001" customHeight="1" x14ac:dyDescent="0.25">
      <c r="A11" s="52" t="s">
        <v>74</v>
      </c>
      <c r="B11" s="52" t="s">
        <v>170</v>
      </c>
      <c r="C11" s="55" t="s">
        <v>26</v>
      </c>
      <c r="D11" s="55" t="s">
        <v>78</v>
      </c>
      <c r="E11" s="49" t="s">
        <v>16</v>
      </c>
      <c r="G11" s="24" t="s">
        <v>26</v>
      </c>
      <c r="H11" s="24" t="s">
        <v>78</v>
      </c>
      <c r="I11" s="24" t="s">
        <v>313</v>
      </c>
      <c r="J11" s="24">
        <v>5</v>
      </c>
    </row>
    <row r="12" spans="1:10" ht="20.100000000000001" customHeight="1" x14ac:dyDescent="0.25">
      <c r="A12" s="51" t="s">
        <v>79</v>
      </c>
      <c r="B12" s="51" t="s">
        <v>174</v>
      </c>
      <c r="C12" s="54" t="s">
        <v>39</v>
      </c>
      <c r="D12" s="54" t="s">
        <v>120</v>
      </c>
      <c r="E12" s="48" t="s">
        <v>16</v>
      </c>
      <c r="G12" s="66" t="s">
        <v>39</v>
      </c>
      <c r="H12" s="66" t="s">
        <v>120</v>
      </c>
      <c r="I12" s="66" t="s">
        <v>313</v>
      </c>
      <c r="J12" s="63">
        <v>1</v>
      </c>
    </row>
    <row r="13" spans="1:10" ht="20.100000000000001" customHeight="1" x14ac:dyDescent="0.25">
      <c r="A13" s="52" t="s">
        <v>83</v>
      </c>
      <c r="B13" s="52" t="s">
        <v>178</v>
      </c>
      <c r="C13" s="55" t="s">
        <v>39</v>
      </c>
      <c r="D13" s="55" t="s">
        <v>120</v>
      </c>
      <c r="E13" s="49" t="s">
        <v>16</v>
      </c>
      <c r="G13" s="24" t="s">
        <v>39</v>
      </c>
      <c r="H13" s="24" t="s">
        <v>311</v>
      </c>
      <c r="I13" s="24" t="s">
        <v>313</v>
      </c>
      <c r="J13" s="22">
        <v>5</v>
      </c>
    </row>
    <row r="14" spans="1:10" ht="20.100000000000001" customHeight="1" x14ac:dyDescent="0.25">
      <c r="A14" s="51" t="s">
        <v>87</v>
      </c>
      <c r="B14" s="51" t="s">
        <v>182</v>
      </c>
      <c r="C14" s="54" t="s">
        <v>39</v>
      </c>
      <c r="D14" s="54" t="s">
        <v>120</v>
      </c>
      <c r="E14" s="48" t="s">
        <v>16</v>
      </c>
      <c r="I14" s="65" t="s">
        <v>316</v>
      </c>
      <c r="J14" s="67">
        <f>SUM(J2:J13)</f>
        <v>44</v>
      </c>
    </row>
    <row r="15" spans="1:10" ht="20.100000000000001" customHeight="1" x14ac:dyDescent="0.25">
      <c r="A15" s="52" t="s">
        <v>91</v>
      </c>
      <c r="B15" s="52" t="s">
        <v>186</v>
      </c>
      <c r="C15" s="56" t="s">
        <v>39</v>
      </c>
      <c r="D15" s="56" t="s">
        <v>120</v>
      </c>
      <c r="E15" s="49" t="s">
        <v>16</v>
      </c>
      <c r="G15" s="30"/>
      <c r="H15" s="30"/>
      <c r="I15" s="30"/>
      <c r="J15" s="30"/>
    </row>
    <row r="16" spans="1:10" ht="20.100000000000001" customHeight="1" x14ac:dyDescent="0.25">
      <c r="A16" s="51" t="s">
        <v>95</v>
      </c>
      <c r="B16" s="51" t="s">
        <v>190</v>
      </c>
      <c r="C16" s="54" t="s">
        <v>39</v>
      </c>
      <c r="D16" s="54" t="s">
        <v>120</v>
      </c>
      <c r="E16" s="48" t="s">
        <v>16</v>
      </c>
      <c r="G16" s="30"/>
      <c r="H16" s="30"/>
      <c r="I16" s="30"/>
      <c r="J16" s="30"/>
    </row>
    <row r="17" spans="1:10" ht="20.100000000000001" customHeight="1" x14ac:dyDescent="0.25">
      <c r="A17" s="52" t="s">
        <v>99</v>
      </c>
      <c r="B17" s="52" t="s">
        <v>194</v>
      </c>
      <c r="C17" s="55" t="s">
        <v>39</v>
      </c>
      <c r="D17" s="55" t="s">
        <v>119</v>
      </c>
      <c r="E17" s="49" t="s">
        <v>16</v>
      </c>
      <c r="G17" s="72" t="s">
        <v>314</v>
      </c>
      <c r="H17" s="73"/>
      <c r="I17" s="58">
        <f>SUM(J2:J5)</f>
        <v>20</v>
      </c>
      <c r="J17" s="30"/>
    </row>
    <row r="18" spans="1:10" ht="20.100000000000001" customHeight="1" x14ac:dyDescent="0.25">
      <c r="A18" s="51" t="s">
        <v>103</v>
      </c>
      <c r="B18" s="51" t="s">
        <v>198</v>
      </c>
      <c r="C18" s="54" t="s">
        <v>39</v>
      </c>
      <c r="D18" s="54" t="s">
        <v>119</v>
      </c>
      <c r="E18" s="48" t="s">
        <v>16</v>
      </c>
      <c r="G18" s="72" t="s">
        <v>315</v>
      </c>
      <c r="H18" s="73"/>
      <c r="I18" s="58">
        <f>SUM(J6:J9)</f>
        <v>10</v>
      </c>
      <c r="J18" s="30"/>
    </row>
    <row r="19" spans="1:10" ht="20.100000000000001" customHeight="1" x14ac:dyDescent="0.25">
      <c r="A19" s="52" t="s">
        <v>107</v>
      </c>
      <c r="B19" s="52" t="s">
        <v>202</v>
      </c>
      <c r="C19" s="55" t="s">
        <v>39</v>
      </c>
      <c r="D19" s="55" t="s">
        <v>119</v>
      </c>
      <c r="E19" s="49" t="s">
        <v>16</v>
      </c>
      <c r="G19" s="72" t="s">
        <v>317</v>
      </c>
      <c r="H19" s="73"/>
      <c r="I19" s="58">
        <f>SUM(J10:J13)</f>
        <v>14</v>
      </c>
      <c r="J19" s="30"/>
    </row>
    <row r="20" spans="1:10" ht="20.100000000000001" customHeight="1" x14ac:dyDescent="0.25">
      <c r="A20" s="51" t="s">
        <v>111</v>
      </c>
      <c r="B20" s="51" t="s">
        <v>206</v>
      </c>
      <c r="C20" s="54" t="s">
        <v>39</v>
      </c>
      <c r="D20" s="54" t="s">
        <v>119</v>
      </c>
      <c r="E20" s="48" t="s">
        <v>16</v>
      </c>
      <c r="G20" s="30"/>
      <c r="H20" s="30"/>
      <c r="I20" s="30"/>
      <c r="J20" s="30"/>
    </row>
    <row r="21" spans="1:10" ht="20.100000000000001" customHeight="1" x14ac:dyDescent="0.25">
      <c r="A21" s="52" t="s">
        <v>115</v>
      </c>
      <c r="B21" s="52" t="s">
        <v>210</v>
      </c>
      <c r="C21" s="55" t="s">
        <v>39</v>
      </c>
      <c r="D21" s="55" t="s">
        <v>119</v>
      </c>
      <c r="E21" s="49" t="s">
        <v>16</v>
      </c>
      <c r="G21" s="30"/>
      <c r="H21" s="30"/>
      <c r="I21" s="30"/>
      <c r="J21" s="30"/>
    </row>
    <row r="22" spans="1:10" ht="20.100000000000001" customHeight="1" x14ac:dyDescent="0.25">
      <c r="A22" s="51" t="s">
        <v>49</v>
      </c>
      <c r="B22" s="51" t="s">
        <v>144</v>
      </c>
      <c r="C22" s="54" t="s">
        <v>26</v>
      </c>
      <c r="D22" s="54" t="s">
        <v>120</v>
      </c>
      <c r="E22" s="48" t="s">
        <v>7</v>
      </c>
      <c r="G22" s="30"/>
      <c r="H22" s="30"/>
      <c r="I22" s="30"/>
      <c r="J22" s="30"/>
    </row>
    <row r="23" spans="1:10" ht="20.100000000000001" customHeight="1" x14ac:dyDescent="0.25">
      <c r="A23" s="52" t="s">
        <v>60</v>
      </c>
      <c r="B23" s="52" t="s">
        <v>156</v>
      </c>
      <c r="C23" s="55" t="s">
        <v>26</v>
      </c>
      <c r="D23" s="55" t="s">
        <v>78</v>
      </c>
      <c r="E23" s="49" t="s">
        <v>7</v>
      </c>
    </row>
    <row r="24" spans="1:10" ht="20.100000000000001" customHeight="1" x14ac:dyDescent="0.25">
      <c r="A24" s="51" t="s">
        <v>64</v>
      </c>
      <c r="B24" s="51" t="s">
        <v>160</v>
      </c>
      <c r="C24" s="54" t="s">
        <v>26</v>
      </c>
      <c r="D24" s="54" t="s">
        <v>78</v>
      </c>
      <c r="E24" s="48" t="s">
        <v>7</v>
      </c>
    </row>
    <row r="25" spans="1:10" ht="20.100000000000001" customHeight="1" x14ac:dyDescent="0.25">
      <c r="A25" s="52" t="s">
        <v>68</v>
      </c>
      <c r="B25" s="52" t="s">
        <v>164</v>
      </c>
      <c r="C25" s="55" t="s">
        <v>26</v>
      </c>
      <c r="D25" s="55" t="s">
        <v>78</v>
      </c>
      <c r="E25" s="49" t="s">
        <v>7</v>
      </c>
    </row>
    <row r="26" spans="1:10" ht="20.100000000000001" customHeight="1" x14ac:dyDescent="0.25">
      <c r="A26" s="51" t="s">
        <v>72</v>
      </c>
      <c r="B26" s="51" t="s">
        <v>168</v>
      </c>
      <c r="C26" s="54" t="s">
        <v>26</v>
      </c>
      <c r="D26" s="54" t="s">
        <v>78</v>
      </c>
      <c r="E26" s="48" t="s">
        <v>7</v>
      </c>
    </row>
    <row r="27" spans="1:10" ht="20.100000000000001" customHeight="1" x14ac:dyDescent="0.25">
      <c r="A27" s="52" t="s">
        <v>76</v>
      </c>
      <c r="B27" s="52" t="s">
        <v>172</v>
      </c>
      <c r="C27" s="55" t="s">
        <v>26</v>
      </c>
      <c r="D27" s="55" t="s">
        <v>78</v>
      </c>
      <c r="E27" s="49" t="s">
        <v>7</v>
      </c>
    </row>
    <row r="28" spans="1:10" ht="20.100000000000001" customHeight="1" x14ac:dyDescent="0.25">
      <c r="A28" s="51" t="s">
        <v>81</v>
      </c>
      <c r="B28" s="51" t="s">
        <v>176</v>
      </c>
      <c r="C28" s="54" t="s">
        <v>39</v>
      </c>
      <c r="D28" s="54" t="s">
        <v>120</v>
      </c>
      <c r="E28" s="48" t="s">
        <v>7</v>
      </c>
    </row>
    <row r="29" spans="1:10" ht="20.100000000000001" customHeight="1" x14ac:dyDescent="0.25">
      <c r="A29" s="52" t="s">
        <v>85</v>
      </c>
      <c r="B29" s="52" t="s">
        <v>180</v>
      </c>
      <c r="C29" s="55" t="s">
        <v>39</v>
      </c>
      <c r="D29" s="55" t="s">
        <v>120</v>
      </c>
      <c r="E29" s="49" t="s">
        <v>7</v>
      </c>
    </row>
    <row r="30" spans="1:10" ht="20.100000000000001" customHeight="1" x14ac:dyDescent="0.25">
      <c r="A30" s="51" t="s">
        <v>89</v>
      </c>
      <c r="B30" s="51" t="s">
        <v>184</v>
      </c>
      <c r="C30" s="54" t="s">
        <v>39</v>
      </c>
      <c r="D30" s="54" t="s">
        <v>120</v>
      </c>
      <c r="E30" s="48" t="s">
        <v>7</v>
      </c>
    </row>
    <row r="31" spans="1:10" ht="20.100000000000001" customHeight="1" x14ac:dyDescent="0.25">
      <c r="A31" s="52" t="s">
        <v>93</v>
      </c>
      <c r="B31" s="52" t="s">
        <v>188</v>
      </c>
      <c r="C31" s="55" t="s">
        <v>39</v>
      </c>
      <c r="D31" s="55" t="s">
        <v>120</v>
      </c>
      <c r="E31" s="49" t="s">
        <v>7</v>
      </c>
    </row>
    <row r="32" spans="1:10" ht="20.100000000000001" customHeight="1" x14ac:dyDescent="0.25">
      <c r="A32" s="51" t="s">
        <v>23</v>
      </c>
      <c r="B32" s="51" t="s">
        <v>137</v>
      </c>
      <c r="C32" s="54" t="s">
        <v>26</v>
      </c>
      <c r="D32" s="54" t="s">
        <v>120</v>
      </c>
      <c r="E32" s="48" t="s">
        <v>17</v>
      </c>
    </row>
    <row r="33" spans="1:5" ht="20.100000000000001" customHeight="1" x14ac:dyDescent="0.25">
      <c r="A33" s="52" t="s">
        <v>53</v>
      </c>
      <c r="B33" s="52" t="s">
        <v>149</v>
      </c>
      <c r="C33" s="55" t="s">
        <v>26</v>
      </c>
      <c r="D33" s="55" t="s">
        <v>120</v>
      </c>
      <c r="E33" s="49" t="s">
        <v>17</v>
      </c>
    </row>
    <row r="34" spans="1:5" ht="20.100000000000001" customHeight="1" x14ac:dyDescent="0.25">
      <c r="A34" s="51" t="s">
        <v>57</v>
      </c>
      <c r="B34" s="51" t="s">
        <v>153</v>
      </c>
      <c r="C34" s="54" t="s">
        <v>26</v>
      </c>
      <c r="D34" s="54" t="s">
        <v>120</v>
      </c>
      <c r="E34" s="48" t="s">
        <v>17</v>
      </c>
    </row>
    <row r="35" spans="1:5" ht="20.100000000000001" customHeight="1" x14ac:dyDescent="0.25">
      <c r="A35" s="52" t="s">
        <v>61</v>
      </c>
      <c r="B35" s="52" t="s">
        <v>157</v>
      </c>
      <c r="C35" s="55" t="s">
        <v>26</v>
      </c>
      <c r="D35" s="55" t="s">
        <v>78</v>
      </c>
      <c r="E35" s="49" t="s">
        <v>17</v>
      </c>
    </row>
    <row r="36" spans="1:5" ht="20.100000000000001" customHeight="1" x14ac:dyDescent="0.25">
      <c r="A36" s="51" t="s">
        <v>65</v>
      </c>
      <c r="B36" s="51" t="s">
        <v>161</v>
      </c>
      <c r="C36" s="54" t="s">
        <v>26</v>
      </c>
      <c r="D36" s="54" t="s">
        <v>78</v>
      </c>
      <c r="E36" s="48" t="s">
        <v>17</v>
      </c>
    </row>
    <row r="37" spans="1:5" ht="20.100000000000001" customHeight="1" x14ac:dyDescent="0.25">
      <c r="A37" s="52" t="s">
        <v>69</v>
      </c>
      <c r="B37" s="52" t="s">
        <v>165</v>
      </c>
      <c r="C37" s="55" t="s">
        <v>26</v>
      </c>
      <c r="D37" s="55" t="s">
        <v>78</v>
      </c>
      <c r="E37" s="49" t="s">
        <v>17</v>
      </c>
    </row>
    <row r="38" spans="1:5" ht="20.100000000000001" customHeight="1" x14ac:dyDescent="0.25">
      <c r="A38" s="51" t="s">
        <v>73</v>
      </c>
      <c r="B38" s="51" t="s">
        <v>169</v>
      </c>
      <c r="C38" s="54" t="s">
        <v>26</v>
      </c>
      <c r="D38" s="54" t="s">
        <v>78</v>
      </c>
      <c r="E38" s="48" t="s">
        <v>17</v>
      </c>
    </row>
    <row r="39" spans="1:5" ht="20.100000000000001" customHeight="1" x14ac:dyDescent="0.25">
      <c r="A39" s="52" t="s">
        <v>77</v>
      </c>
      <c r="B39" s="52" t="s">
        <v>173</v>
      </c>
      <c r="C39" s="55" t="s">
        <v>26</v>
      </c>
      <c r="D39" s="55" t="s">
        <v>78</v>
      </c>
      <c r="E39" s="49" t="s">
        <v>17</v>
      </c>
    </row>
    <row r="40" spans="1:5" ht="20.100000000000001" customHeight="1" x14ac:dyDescent="0.25">
      <c r="A40" s="51" t="s">
        <v>82</v>
      </c>
      <c r="B40" s="51" t="s">
        <v>177</v>
      </c>
      <c r="C40" s="54" t="s">
        <v>39</v>
      </c>
      <c r="D40" s="54" t="s">
        <v>120</v>
      </c>
      <c r="E40" s="48" t="s">
        <v>17</v>
      </c>
    </row>
    <row r="41" spans="1:5" ht="20.100000000000001" customHeight="1" x14ac:dyDescent="0.25">
      <c r="A41" s="52" t="s">
        <v>102</v>
      </c>
      <c r="B41" s="52" t="s">
        <v>197</v>
      </c>
      <c r="C41" s="55" t="s">
        <v>39</v>
      </c>
      <c r="D41" s="55" t="s">
        <v>119</v>
      </c>
      <c r="E41" s="49" t="s">
        <v>17</v>
      </c>
    </row>
    <row r="42" spans="1:5" ht="20.100000000000001" customHeight="1" x14ac:dyDescent="0.25">
      <c r="A42" s="51" t="s">
        <v>106</v>
      </c>
      <c r="B42" s="51" t="s">
        <v>201</v>
      </c>
      <c r="C42" s="54" t="s">
        <v>39</v>
      </c>
      <c r="D42" s="54" t="s">
        <v>119</v>
      </c>
      <c r="E42" s="48" t="s">
        <v>17</v>
      </c>
    </row>
    <row r="43" spans="1:5" ht="20.100000000000001" customHeight="1" x14ac:dyDescent="0.25">
      <c r="A43" s="52" t="s">
        <v>110</v>
      </c>
      <c r="B43" s="52" t="s">
        <v>205</v>
      </c>
      <c r="C43" s="55" t="s">
        <v>39</v>
      </c>
      <c r="D43" s="55" t="s">
        <v>119</v>
      </c>
      <c r="E43" s="49" t="s">
        <v>17</v>
      </c>
    </row>
    <row r="44" spans="1:5" ht="20.100000000000001" customHeight="1" x14ac:dyDescent="0.25">
      <c r="A44" s="51" t="s">
        <v>114</v>
      </c>
      <c r="B44" s="51" t="s">
        <v>209</v>
      </c>
      <c r="C44" s="54" t="s">
        <v>39</v>
      </c>
      <c r="D44" s="54" t="s">
        <v>119</v>
      </c>
      <c r="E44" s="48" t="s">
        <v>17</v>
      </c>
    </row>
    <row r="45" spans="1:5" ht="20.100000000000001" customHeight="1" x14ac:dyDescent="0.25">
      <c r="A45" s="52" t="s">
        <v>118</v>
      </c>
      <c r="B45" s="52" t="s">
        <v>213</v>
      </c>
      <c r="C45" s="55" t="s">
        <v>39</v>
      </c>
      <c r="D45" s="55" t="s">
        <v>119</v>
      </c>
      <c r="E45" s="49" t="s">
        <v>17</v>
      </c>
    </row>
    <row r="46" spans="1:5" ht="20.100000000000001" customHeight="1" x14ac:dyDescent="0.25">
      <c r="A46" s="46" t="s">
        <v>308</v>
      </c>
      <c r="B46" s="47" t="s">
        <v>304</v>
      </c>
      <c r="C46" s="57" t="s">
        <v>8</v>
      </c>
      <c r="D46" s="57"/>
      <c r="E46" s="48" t="s">
        <v>16</v>
      </c>
    </row>
  </sheetData>
  <mergeCells count="3">
    <mergeCell ref="G17:H17"/>
    <mergeCell ref="G18:H18"/>
    <mergeCell ref="G19:H19"/>
  </mergeCells>
  <pageMargins left="0.7" right="0.7" top="0.75" bottom="0.75" header="0.3" footer="0.3"/>
  <pageSetup paperSize="9" orientation="portrait" r:id="rId1"/>
  <ignoredErrors>
    <ignoredError sqref="I17:I19" formulaRange="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J113"/>
  <sheetViews>
    <sheetView topLeftCell="A25" zoomScale="115" zoomScaleNormal="115" workbookViewId="0">
      <selection activeCell="A115" sqref="A115"/>
    </sheetView>
  </sheetViews>
  <sheetFormatPr baseColWidth="10" defaultRowHeight="15" x14ac:dyDescent="0.25"/>
  <cols>
    <col min="1" max="1" width="15.42578125" bestFit="1" customWidth="1"/>
    <col min="2" max="2" width="20.28515625" customWidth="1"/>
    <col min="3" max="3" width="21" customWidth="1"/>
    <col min="4" max="5" width="14.5703125" bestFit="1" customWidth="1"/>
    <col min="6" max="6" width="9.5703125" bestFit="1" customWidth="1"/>
    <col min="8" max="8" width="23.28515625" customWidth="1"/>
    <col min="9" max="9" width="28" customWidth="1"/>
    <col min="10" max="10" width="25.140625" customWidth="1"/>
  </cols>
  <sheetData>
    <row r="1" spans="1:10" x14ac:dyDescent="0.25">
      <c r="A1" s="33" t="s">
        <v>214</v>
      </c>
      <c r="B1" s="35" t="s">
        <v>215</v>
      </c>
      <c r="C1" s="35" t="s">
        <v>228</v>
      </c>
      <c r="D1" s="34" t="s">
        <v>217</v>
      </c>
      <c r="E1" s="34" t="s">
        <v>218</v>
      </c>
      <c r="F1" s="34" t="s">
        <v>219</v>
      </c>
      <c r="G1" s="34" t="s">
        <v>220</v>
      </c>
      <c r="H1" s="35" t="s">
        <v>221</v>
      </c>
      <c r="I1" s="35" t="s">
        <v>222</v>
      </c>
      <c r="J1" s="35" t="s">
        <v>223</v>
      </c>
    </row>
    <row r="2" spans="1:10" x14ac:dyDescent="0.25">
      <c r="A2" s="32">
        <v>45972</v>
      </c>
      <c r="B2" s="30" t="s">
        <v>224</v>
      </c>
      <c r="C2" s="30">
        <v>30.571000000000002</v>
      </c>
      <c r="D2" s="30">
        <v>1.6519999999999999</v>
      </c>
      <c r="E2" s="30">
        <v>0.56200000000000006</v>
      </c>
      <c r="F2" s="30">
        <v>0.61099999999999999</v>
      </c>
      <c r="G2" s="30">
        <v>0.37</v>
      </c>
      <c r="H2" s="30">
        <v>50</v>
      </c>
      <c r="I2" s="30">
        <v>340</v>
      </c>
      <c r="J2" s="30">
        <v>1.5089999999999999</v>
      </c>
    </row>
    <row r="3" spans="1:10" x14ac:dyDescent="0.25">
      <c r="A3" s="32">
        <v>45972</v>
      </c>
      <c r="B3" s="30" t="s">
        <v>225</v>
      </c>
      <c r="C3" s="30">
        <v>170.096</v>
      </c>
      <c r="D3" s="30">
        <v>1.83</v>
      </c>
      <c r="E3" s="30">
        <v>1.405</v>
      </c>
      <c r="F3" s="30">
        <v>3.4020000000000001</v>
      </c>
      <c r="G3" s="30">
        <v>1.859</v>
      </c>
      <c r="H3" s="30">
        <v>50</v>
      </c>
      <c r="I3" s="30">
        <v>340</v>
      </c>
      <c r="J3" s="30">
        <v>2.2280000000000002</v>
      </c>
    </row>
    <row r="4" spans="1:10" x14ac:dyDescent="0.25">
      <c r="A4" s="32">
        <v>45972</v>
      </c>
      <c r="B4" s="30" t="s">
        <v>226</v>
      </c>
      <c r="C4" s="30">
        <v>31.861999999999998</v>
      </c>
      <c r="D4" s="30">
        <v>1.8140000000000001</v>
      </c>
      <c r="E4" s="30">
        <v>0.72</v>
      </c>
      <c r="F4" s="30">
        <v>0.63700000000000001</v>
      </c>
      <c r="G4" s="30">
        <v>0.35099999999999998</v>
      </c>
      <c r="H4" s="30">
        <v>50</v>
      </c>
      <c r="I4" s="30">
        <v>340</v>
      </c>
      <c r="J4" s="30">
        <v>0.39900000000000002</v>
      </c>
    </row>
    <row r="5" spans="1:10" x14ac:dyDescent="0.25">
      <c r="A5" s="32">
        <v>45972.407002314816</v>
      </c>
      <c r="B5" s="30" t="s">
        <v>227</v>
      </c>
      <c r="C5" s="30">
        <v>186.065</v>
      </c>
      <c r="D5" s="30">
        <v>2.016</v>
      </c>
      <c r="E5" s="30">
        <v>1.7090000000000001</v>
      </c>
      <c r="F5" s="30">
        <v>3.7210000000000001</v>
      </c>
      <c r="G5" s="30">
        <v>1.8460000000000001</v>
      </c>
      <c r="H5" s="30">
        <v>50</v>
      </c>
      <c r="I5" s="30">
        <v>340</v>
      </c>
      <c r="J5" s="30">
        <v>0.85799999999999998</v>
      </c>
    </row>
    <row r="6" spans="1:10" x14ac:dyDescent="0.25">
      <c r="A6" s="30"/>
      <c r="B6" s="30"/>
      <c r="C6" s="30"/>
      <c r="D6" s="30"/>
      <c r="E6" s="30"/>
      <c r="F6" s="30"/>
      <c r="G6" s="30"/>
      <c r="H6" s="30"/>
      <c r="I6" s="30"/>
      <c r="J6" s="30"/>
    </row>
    <row r="7" spans="1:10" x14ac:dyDescent="0.25">
      <c r="A7" s="35" t="s">
        <v>214</v>
      </c>
      <c r="B7" s="35" t="s">
        <v>215</v>
      </c>
      <c r="C7" s="35" t="s">
        <v>216</v>
      </c>
      <c r="D7" s="35" t="s">
        <v>217</v>
      </c>
      <c r="E7" s="35" t="s">
        <v>218</v>
      </c>
      <c r="F7" s="35" t="s">
        <v>219</v>
      </c>
      <c r="G7" s="35" t="s">
        <v>220</v>
      </c>
      <c r="H7" s="35" t="s">
        <v>221</v>
      </c>
      <c r="I7" s="35" t="s">
        <v>222</v>
      </c>
      <c r="J7" s="35" t="s">
        <v>223</v>
      </c>
    </row>
    <row r="8" spans="1:10" x14ac:dyDescent="0.25">
      <c r="A8" s="36">
        <v>45973.648194444446</v>
      </c>
      <c r="B8" s="31" t="s">
        <v>229</v>
      </c>
      <c r="C8" s="31">
        <v>31.998999999999999</v>
      </c>
      <c r="D8" s="31">
        <v>1.6930000000000001</v>
      </c>
      <c r="E8" s="31">
        <v>0.77</v>
      </c>
      <c r="F8" s="31">
        <v>0.64</v>
      </c>
      <c r="G8" s="31">
        <v>0.378</v>
      </c>
      <c r="H8" s="31">
        <v>50</v>
      </c>
      <c r="I8" s="31">
        <v>340</v>
      </c>
      <c r="J8" s="31">
        <v>1.4390000000000001</v>
      </c>
    </row>
    <row r="9" spans="1:10" x14ac:dyDescent="0.25">
      <c r="A9" s="36">
        <v>45973.648993055554</v>
      </c>
      <c r="B9" s="31" t="s">
        <v>230</v>
      </c>
      <c r="C9" s="31">
        <v>169.977</v>
      </c>
      <c r="D9" s="31">
        <v>1.8720000000000001</v>
      </c>
      <c r="E9" s="31">
        <v>1.623</v>
      </c>
      <c r="F9" s="31">
        <v>3.4</v>
      </c>
      <c r="G9" s="31">
        <v>1.8160000000000001</v>
      </c>
      <c r="H9" s="31">
        <v>50</v>
      </c>
      <c r="I9" s="31">
        <v>340</v>
      </c>
      <c r="J9" s="31">
        <v>0.90400000000000003</v>
      </c>
    </row>
    <row r="10" spans="1:10" x14ac:dyDescent="0.25">
      <c r="A10" s="36">
        <v>45973.650601851848</v>
      </c>
      <c r="B10" s="31" t="s">
        <v>231</v>
      </c>
      <c r="C10" s="31">
        <v>15.712999999999999</v>
      </c>
      <c r="D10" s="31">
        <v>1.7849999999999999</v>
      </c>
      <c r="E10" s="31">
        <v>0.64400000000000002</v>
      </c>
      <c r="F10" s="31">
        <v>0.314</v>
      </c>
      <c r="G10" s="31">
        <v>0.17599999999999999</v>
      </c>
      <c r="H10" s="31">
        <v>50</v>
      </c>
      <c r="I10" s="31">
        <v>340</v>
      </c>
      <c r="J10" s="31">
        <v>0.35899999999999999</v>
      </c>
    </row>
    <row r="11" spans="1:10" x14ac:dyDescent="0.25">
      <c r="A11" s="36">
        <v>45973.651516203703</v>
      </c>
      <c r="B11" s="31" t="s">
        <v>232</v>
      </c>
      <c r="C11" s="31">
        <v>152.59899999999999</v>
      </c>
      <c r="D11" s="31">
        <v>1.887</v>
      </c>
      <c r="E11" s="31">
        <v>1.522</v>
      </c>
      <c r="F11" s="31">
        <v>3.052</v>
      </c>
      <c r="G11" s="31">
        <v>1.617</v>
      </c>
      <c r="H11" s="31">
        <v>50</v>
      </c>
      <c r="I11" s="31">
        <v>340</v>
      </c>
      <c r="J11" s="31">
        <v>0.84099999999999997</v>
      </c>
    </row>
    <row r="12" spans="1:10" x14ac:dyDescent="0.25">
      <c r="A12" s="36">
        <v>45973.65247685185</v>
      </c>
      <c r="B12" s="31" t="s">
        <v>233</v>
      </c>
      <c r="C12" s="31">
        <v>15.391</v>
      </c>
      <c r="D12" s="31">
        <v>1.847</v>
      </c>
      <c r="E12" s="31">
        <v>0.68899999999999995</v>
      </c>
      <c r="F12" s="31">
        <v>0.308</v>
      </c>
      <c r="G12" s="31">
        <v>0.16700000000000001</v>
      </c>
      <c r="H12" s="31">
        <v>50</v>
      </c>
      <c r="I12" s="31">
        <v>340</v>
      </c>
      <c r="J12" s="31">
        <v>0.27200000000000002</v>
      </c>
    </row>
    <row r="13" spans="1:10" x14ac:dyDescent="0.25">
      <c r="A13" s="36">
        <v>45973.653541666667</v>
      </c>
      <c r="B13" s="31" t="s">
        <v>234</v>
      </c>
      <c r="C13" s="31">
        <v>71.486999999999995</v>
      </c>
      <c r="D13" s="31">
        <v>1.806</v>
      </c>
      <c r="E13" s="31">
        <v>1.1599999999999999</v>
      </c>
      <c r="F13" s="31">
        <v>1.43</v>
      </c>
      <c r="G13" s="31">
        <v>0.79200000000000004</v>
      </c>
      <c r="H13" s="31">
        <v>50</v>
      </c>
      <c r="I13" s="31">
        <v>340</v>
      </c>
      <c r="J13" s="31">
        <v>1.0449999999999999</v>
      </c>
    </row>
    <row r="14" spans="1:10" x14ac:dyDescent="0.25">
      <c r="A14" s="36">
        <v>45973.65457175926</v>
      </c>
      <c r="B14" s="31" t="s">
        <v>235</v>
      </c>
      <c r="C14" s="31">
        <v>29.213999999999999</v>
      </c>
      <c r="D14" s="31">
        <v>1.8320000000000001</v>
      </c>
      <c r="E14" s="31">
        <v>0.93300000000000005</v>
      </c>
      <c r="F14" s="31">
        <v>0.58399999999999996</v>
      </c>
      <c r="G14" s="31">
        <v>0.31900000000000001</v>
      </c>
      <c r="H14" s="31">
        <v>50</v>
      </c>
      <c r="I14" s="31">
        <v>340</v>
      </c>
      <c r="J14" s="31">
        <v>0.60099999999999998</v>
      </c>
    </row>
    <row r="15" spans="1:10" x14ac:dyDescent="0.25">
      <c r="A15" s="36">
        <v>45973.655497685184</v>
      </c>
      <c r="B15" s="31" t="s">
        <v>236</v>
      </c>
      <c r="C15" s="31">
        <v>431.07900000000001</v>
      </c>
      <c r="D15" s="31">
        <v>1.667</v>
      </c>
      <c r="E15" s="31">
        <v>1.002</v>
      </c>
      <c r="F15" s="31">
        <v>8.6219999999999999</v>
      </c>
      <c r="G15" s="31">
        <v>5.1710000000000003</v>
      </c>
      <c r="H15" s="31">
        <v>50</v>
      </c>
      <c r="I15" s="31">
        <v>340</v>
      </c>
      <c r="J15" s="31">
        <v>14.529</v>
      </c>
    </row>
    <row r="16" spans="1:10" x14ac:dyDescent="0.25">
      <c r="A16" s="30"/>
      <c r="B16" s="30"/>
      <c r="C16" s="30"/>
      <c r="D16" s="30"/>
      <c r="E16" s="30"/>
      <c r="F16" s="30"/>
      <c r="G16" s="30"/>
      <c r="H16" s="30"/>
      <c r="I16" s="30"/>
      <c r="J16" s="30"/>
    </row>
    <row r="17" spans="1:10" x14ac:dyDescent="0.25">
      <c r="A17" s="35" t="s">
        <v>214</v>
      </c>
      <c r="B17" s="35" t="s">
        <v>215</v>
      </c>
      <c r="C17" s="35" t="s">
        <v>216</v>
      </c>
      <c r="D17" s="35" t="s">
        <v>217</v>
      </c>
      <c r="E17" s="35" t="s">
        <v>218</v>
      </c>
      <c r="F17" s="35" t="s">
        <v>219</v>
      </c>
      <c r="G17" s="35" t="s">
        <v>220</v>
      </c>
      <c r="H17" s="35" t="s">
        <v>221</v>
      </c>
      <c r="I17" s="35" t="s">
        <v>222</v>
      </c>
      <c r="J17" s="35" t="s">
        <v>223</v>
      </c>
    </row>
    <row r="18" spans="1:10" x14ac:dyDescent="0.25">
      <c r="A18" s="36">
        <v>45974.628472222219</v>
      </c>
      <c r="B18" s="31" t="s">
        <v>237</v>
      </c>
      <c r="C18" s="31">
        <v>16.727</v>
      </c>
      <c r="D18" s="31">
        <v>1.6830000000000001</v>
      </c>
      <c r="E18" s="31">
        <v>0.57699999999999996</v>
      </c>
      <c r="F18" s="31">
        <v>0.33500000000000002</v>
      </c>
      <c r="G18" s="31">
        <v>0.19900000000000001</v>
      </c>
      <c r="H18" s="31">
        <v>50</v>
      </c>
      <c r="I18" s="31">
        <v>340</v>
      </c>
      <c r="J18" s="31">
        <v>0.38900000000000001</v>
      </c>
    </row>
    <row r="19" spans="1:10" x14ac:dyDescent="0.25">
      <c r="A19" s="36">
        <v>45974.629166666666</v>
      </c>
      <c r="B19" s="31" t="s">
        <v>238</v>
      </c>
      <c r="C19" s="31">
        <v>23.02</v>
      </c>
      <c r="D19" s="31">
        <v>1.718</v>
      </c>
      <c r="E19" s="31">
        <v>0.84399999999999997</v>
      </c>
      <c r="F19" s="31">
        <v>0.46</v>
      </c>
      <c r="G19" s="31">
        <v>0.26800000000000002</v>
      </c>
      <c r="H19" s="31">
        <v>50</v>
      </c>
      <c r="I19" s="31">
        <v>340</v>
      </c>
      <c r="J19" s="31">
        <v>0.29599999999999999</v>
      </c>
    </row>
    <row r="20" spans="1:10" x14ac:dyDescent="0.25">
      <c r="A20" s="36">
        <v>45974.629861111112</v>
      </c>
      <c r="B20" s="31" t="s">
        <v>239</v>
      </c>
      <c r="C20" s="31">
        <v>18.891999999999999</v>
      </c>
      <c r="D20" s="31">
        <v>1.613</v>
      </c>
      <c r="E20" s="31">
        <v>0.66400000000000003</v>
      </c>
      <c r="F20" s="31">
        <v>0.378</v>
      </c>
      <c r="G20" s="31">
        <v>0.23400000000000001</v>
      </c>
      <c r="H20" s="31">
        <v>50</v>
      </c>
      <c r="I20" s="31">
        <v>340</v>
      </c>
      <c r="J20" s="31">
        <v>0.373</v>
      </c>
    </row>
    <row r="21" spans="1:10" x14ac:dyDescent="0.25">
      <c r="A21" s="36">
        <v>45974.630555555559</v>
      </c>
      <c r="B21" s="31" t="s">
        <v>240</v>
      </c>
      <c r="C21" s="31">
        <v>20.155999999999999</v>
      </c>
      <c r="D21" s="31">
        <v>1.5389999999999999</v>
      </c>
      <c r="E21" s="31">
        <v>0.625</v>
      </c>
      <c r="F21" s="31">
        <v>0.40300000000000002</v>
      </c>
      <c r="G21" s="31">
        <v>0.26200000000000001</v>
      </c>
      <c r="H21" s="31">
        <v>50</v>
      </c>
      <c r="I21" s="31">
        <v>340</v>
      </c>
      <c r="J21" s="31">
        <v>0.214</v>
      </c>
    </row>
    <row r="22" spans="1:10" x14ac:dyDescent="0.25">
      <c r="A22" s="36">
        <v>45974.631249999999</v>
      </c>
      <c r="B22" s="31" t="s">
        <v>241</v>
      </c>
      <c r="C22" s="31">
        <v>255.333</v>
      </c>
      <c r="D22" s="31">
        <v>1.9370000000000001</v>
      </c>
      <c r="E22" s="31">
        <v>1.619</v>
      </c>
      <c r="F22" s="31">
        <v>5.1070000000000002</v>
      </c>
      <c r="G22" s="31">
        <v>2.637</v>
      </c>
      <c r="H22" s="31">
        <v>50</v>
      </c>
      <c r="I22" s="31">
        <v>340</v>
      </c>
      <c r="J22" s="31">
        <v>4.109</v>
      </c>
    </row>
    <row r="23" spans="1:10" x14ac:dyDescent="0.25">
      <c r="A23" s="36">
        <v>45974.631249999999</v>
      </c>
      <c r="B23" s="31" t="s">
        <v>242</v>
      </c>
      <c r="C23" s="31">
        <v>188.636</v>
      </c>
      <c r="D23" s="31">
        <v>1.9990000000000001</v>
      </c>
      <c r="E23" s="31">
        <v>1.6140000000000001</v>
      </c>
      <c r="F23" s="31">
        <v>3.7730000000000001</v>
      </c>
      <c r="G23" s="31">
        <v>1.887</v>
      </c>
      <c r="H23" s="31">
        <v>50</v>
      </c>
      <c r="I23" s="31">
        <v>340</v>
      </c>
      <c r="J23" s="31">
        <v>1.91</v>
      </c>
    </row>
    <row r="24" spans="1:10" x14ac:dyDescent="0.25">
      <c r="A24" s="36">
        <v>45974.631944444445</v>
      </c>
      <c r="B24" s="31" t="s">
        <v>243</v>
      </c>
      <c r="C24" s="31">
        <v>58.445999999999998</v>
      </c>
      <c r="D24" s="31">
        <v>1.91</v>
      </c>
      <c r="E24" s="31">
        <v>1.36</v>
      </c>
      <c r="F24" s="31">
        <v>1.169</v>
      </c>
      <c r="G24" s="31">
        <v>0.61199999999999999</v>
      </c>
      <c r="H24" s="31">
        <v>50</v>
      </c>
      <c r="I24" s="31">
        <v>340</v>
      </c>
      <c r="J24" s="31">
        <v>0.94899999999999995</v>
      </c>
    </row>
    <row r="25" spans="1:10" x14ac:dyDescent="0.25">
      <c r="A25" s="36">
        <v>45974.632638888892</v>
      </c>
      <c r="B25" s="31" t="s">
        <v>244</v>
      </c>
      <c r="C25" s="31">
        <v>301.28100000000001</v>
      </c>
      <c r="D25" s="31">
        <v>2.0019999999999998</v>
      </c>
      <c r="E25" s="31">
        <v>1.7669999999999999</v>
      </c>
      <c r="F25" s="31">
        <v>6.0259999999999998</v>
      </c>
      <c r="G25" s="31">
        <v>3.01</v>
      </c>
      <c r="H25" s="31">
        <v>50</v>
      </c>
      <c r="I25" s="31">
        <v>340</v>
      </c>
      <c r="J25" s="31">
        <v>3.1019999999999999</v>
      </c>
    </row>
    <row r="26" spans="1:10" x14ac:dyDescent="0.25">
      <c r="A26" s="36">
        <v>45974.633333333331</v>
      </c>
      <c r="B26" s="31" t="s">
        <v>245</v>
      </c>
      <c r="C26" s="31">
        <v>13.483000000000001</v>
      </c>
      <c r="D26" s="31">
        <v>1.37</v>
      </c>
      <c r="E26" s="31">
        <v>0.21</v>
      </c>
      <c r="F26" s="31">
        <v>0.27</v>
      </c>
      <c r="G26" s="31">
        <v>0.19700000000000001</v>
      </c>
      <c r="H26" s="31">
        <v>50</v>
      </c>
      <c r="I26" s="31">
        <v>340</v>
      </c>
      <c r="J26" s="31">
        <v>1.1180000000000001</v>
      </c>
    </row>
    <row r="27" spans="1:10" x14ac:dyDescent="0.25">
      <c r="A27" s="30"/>
      <c r="B27" s="30"/>
      <c r="C27" s="30"/>
      <c r="D27" s="30"/>
      <c r="E27" s="30"/>
      <c r="F27" s="30"/>
      <c r="G27" s="30"/>
      <c r="H27" s="30"/>
      <c r="I27" s="30"/>
      <c r="J27" s="30"/>
    </row>
    <row r="28" spans="1:10" s="39" customFormat="1" ht="21.6" customHeight="1" x14ac:dyDescent="0.25">
      <c r="A28" s="38" t="s">
        <v>214</v>
      </c>
      <c r="B28" s="35" t="s">
        <v>215</v>
      </c>
      <c r="C28" s="35" t="s">
        <v>216</v>
      </c>
      <c r="D28" s="35" t="s">
        <v>217</v>
      </c>
      <c r="E28" s="35" t="s">
        <v>218</v>
      </c>
      <c r="F28" s="35" t="s">
        <v>219</v>
      </c>
      <c r="G28" s="35" t="s">
        <v>220</v>
      </c>
      <c r="H28" s="35" t="s">
        <v>221</v>
      </c>
      <c r="I28" s="35" t="s">
        <v>222</v>
      </c>
      <c r="J28" s="35" t="s">
        <v>223</v>
      </c>
    </row>
    <row r="29" spans="1:10" x14ac:dyDescent="0.25">
      <c r="A29" s="32">
        <v>45979.505555555559</v>
      </c>
      <c r="B29" s="30" t="s">
        <v>248</v>
      </c>
      <c r="C29" s="30">
        <v>0.51</v>
      </c>
      <c r="D29" s="30">
        <v>1.982</v>
      </c>
      <c r="E29" s="30">
        <v>0.189</v>
      </c>
      <c r="F29" s="30">
        <v>0.01</v>
      </c>
      <c r="G29" s="30">
        <v>5.0000000000000001E-3</v>
      </c>
      <c r="H29" s="30">
        <v>50</v>
      </c>
      <c r="I29" s="30">
        <v>340</v>
      </c>
      <c r="J29" s="30">
        <v>1.7000000000000001E-2</v>
      </c>
    </row>
    <row r="30" spans="1:10" x14ac:dyDescent="0.25">
      <c r="A30" s="32">
        <v>45979.506249999999</v>
      </c>
      <c r="B30" s="30" t="s">
        <v>44</v>
      </c>
      <c r="C30" s="30">
        <v>-3.5379999999999998</v>
      </c>
      <c r="D30" s="30">
        <v>2.9380000000000002</v>
      </c>
      <c r="E30" s="30">
        <v>-0.06</v>
      </c>
      <c r="F30" s="30">
        <v>-7.0999999999999994E-2</v>
      </c>
      <c r="G30" s="30">
        <v>-2.4E-2</v>
      </c>
      <c r="H30" s="30">
        <v>50</v>
      </c>
      <c r="I30" s="30">
        <v>340</v>
      </c>
      <c r="J30" s="30">
        <v>-2.5910000000000002</v>
      </c>
    </row>
    <row r="31" spans="1:10" x14ac:dyDescent="0.25">
      <c r="A31" s="32">
        <v>45979.507638888892</v>
      </c>
      <c r="B31" s="30" t="s">
        <v>49</v>
      </c>
      <c r="C31" s="30">
        <v>10.391</v>
      </c>
      <c r="D31" s="30">
        <v>1.54</v>
      </c>
      <c r="E31" s="30">
        <v>0.29899999999999999</v>
      </c>
      <c r="F31" s="30">
        <v>0.20799999999999999</v>
      </c>
      <c r="G31" s="30">
        <v>0.13500000000000001</v>
      </c>
      <c r="H31" s="30">
        <v>50</v>
      </c>
      <c r="I31" s="30">
        <v>340</v>
      </c>
      <c r="J31" s="30">
        <v>0.13200000000000001</v>
      </c>
    </row>
    <row r="32" spans="1:10" x14ac:dyDescent="0.25">
      <c r="A32" s="32">
        <v>45979.508333333331</v>
      </c>
      <c r="B32" s="30" t="s">
        <v>249</v>
      </c>
      <c r="C32" s="30">
        <v>3.0939999999999999</v>
      </c>
      <c r="D32" s="30">
        <v>1.296</v>
      </c>
      <c r="E32" s="30">
        <v>4.4999999999999998E-2</v>
      </c>
      <c r="F32" s="30">
        <v>6.2E-2</v>
      </c>
      <c r="G32" s="30">
        <v>4.8000000000000001E-2</v>
      </c>
      <c r="H32" s="30">
        <v>50</v>
      </c>
      <c r="I32" s="30">
        <v>340</v>
      </c>
      <c r="J32" s="30">
        <v>2.5000000000000001E-2</v>
      </c>
    </row>
    <row r="33" spans="1:10" x14ac:dyDescent="0.25">
      <c r="A33" s="30"/>
      <c r="B33" s="30"/>
      <c r="C33" s="30"/>
      <c r="D33" s="30"/>
      <c r="E33" s="30"/>
      <c r="F33" s="30"/>
      <c r="G33" s="30"/>
      <c r="H33" s="30"/>
      <c r="I33" s="30"/>
      <c r="J33" s="30"/>
    </row>
    <row r="34" spans="1:10" ht="21" customHeight="1" x14ac:dyDescent="0.25">
      <c r="A34" s="33" t="s">
        <v>214</v>
      </c>
      <c r="B34" s="34" t="s">
        <v>215</v>
      </c>
      <c r="C34" s="34" t="s">
        <v>216</v>
      </c>
      <c r="D34" s="34" t="s">
        <v>217</v>
      </c>
      <c r="E34" s="34" t="s">
        <v>218</v>
      </c>
      <c r="F34" s="34" t="s">
        <v>219</v>
      </c>
      <c r="G34" s="34" t="s">
        <v>220</v>
      </c>
      <c r="H34" s="34" t="s">
        <v>221</v>
      </c>
      <c r="I34" s="34" t="s">
        <v>222</v>
      </c>
      <c r="J34" s="34" t="s">
        <v>223</v>
      </c>
    </row>
    <row r="35" spans="1:10" x14ac:dyDescent="0.25">
      <c r="A35" s="32">
        <v>45980.484733796293</v>
      </c>
      <c r="B35" s="30" t="s">
        <v>251</v>
      </c>
      <c r="C35" s="30">
        <v>140.41300000000001</v>
      </c>
      <c r="D35" s="30">
        <v>1.794</v>
      </c>
      <c r="E35" s="30">
        <v>0.22500000000000001</v>
      </c>
      <c r="F35" s="30">
        <v>2.8079999999999998</v>
      </c>
      <c r="G35" s="30">
        <v>1.5649999999999999</v>
      </c>
      <c r="H35" s="30">
        <v>50</v>
      </c>
      <c r="I35" s="30">
        <v>340</v>
      </c>
      <c r="J35" s="30">
        <v>0.77200000000000002</v>
      </c>
    </row>
    <row r="36" spans="1:10" x14ac:dyDescent="0.25">
      <c r="A36" s="32">
        <v>45980.485312500001</v>
      </c>
      <c r="B36" s="30" t="s">
        <v>252</v>
      </c>
      <c r="C36" s="30">
        <v>199.03700000000001</v>
      </c>
      <c r="D36" s="30">
        <v>1.68</v>
      </c>
      <c r="E36" s="30">
        <v>0.248</v>
      </c>
      <c r="F36" s="30">
        <v>3.9809999999999999</v>
      </c>
      <c r="G36" s="30">
        <v>2.3690000000000002</v>
      </c>
      <c r="H36" s="30">
        <v>50</v>
      </c>
      <c r="I36" s="30">
        <v>340</v>
      </c>
      <c r="J36" s="30">
        <v>2.3149999999999999</v>
      </c>
    </row>
    <row r="37" spans="1:10" x14ac:dyDescent="0.25">
      <c r="A37" s="32">
        <v>45980.489849537036</v>
      </c>
      <c r="B37" s="30" t="s">
        <v>250</v>
      </c>
      <c r="C37" s="30">
        <v>28.417000000000002</v>
      </c>
      <c r="D37" s="30">
        <v>1.7150000000000001</v>
      </c>
      <c r="E37" s="30">
        <v>5.6000000000000001E-2</v>
      </c>
      <c r="F37" s="30">
        <v>0.56799999999999995</v>
      </c>
      <c r="G37" s="30">
        <v>0.33100000000000002</v>
      </c>
      <c r="H37" s="30">
        <v>50</v>
      </c>
      <c r="I37" s="30">
        <v>340</v>
      </c>
      <c r="J37" s="30">
        <v>0.44600000000000001</v>
      </c>
    </row>
    <row r="38" spans="1:10" x14ac:dyDescent="0.25">
      <c r="A38" s="32">
        <v>45980.491724537038</v>
      </c>
      <c r="B38" s="30" t="s">
        <v>56</v>
      </c>
      <c r="C38" s="30">
        <v>3.3330000000000002</v>
      </c>
      <c r="D38" s="30">
        <v>1.23</v>
      </c>
      <c r="E38" s="30">
        <v>1.2E-2</v>
      </c>
      <c r="F38" s="30">
        <v>6.7000000000000004E-2</v>
      </c>
      <c r="G38" s="30">
        <v>5.3999999999999999E-2</v>
      </c>
      <c r="H38" s="30">
        <v>50</v>
      </c>
      <c r="I38" s="30">
        <v>340</v>
      </c>
      <c r="J38" s="30">
        <v>-1.29</v>
      </c>
    </row>
    <row r="39" spans="1:10" x14ac:dyDescent="0.25">
      <c r="A39" s="30"/>
      <c r="B39" s="30"/>
      <c r="C39" s="30"/>
      <c r="D39" s="30"/>
      <c r="E39" s="30"/>
      <c r="F39" s="30"/>
      <c r="G39" s="30"/>
      <c r="H39" s="30"/>
      <c r="I39" s="30"/>
      <c r="J39" s="30"/>
    </row>
    <row r="40" spans="1:10" x14ac:dyDescent="0.25">
      <c r="A40" s="34" t="s">
        <v>214</v>
      </c>
      <c r="B40" s="34" t="s">
        <v>215</v>
      </c>
      <c r="C40" s="34" t="s">
        <v>216</v>
      </c>
      <c r="D40" s="34" t="s">
        <v>217</v>
      </c>
      <c r="E40" s="34" t="s">
        <v>218</v>
      </c>
      <c r="F40" s="34" t="s">
        <v>219</v>
      </c>
      <c r="G40" s="34" t="s">
        <v>220</v>
      </c>
      <c r="H40" s="34" t="s">
        <v>221</v>
      </c>
      <c r="I40" s="34" t="s">
        <v>222</v>
      </c>
      <c r="J40" s="34" t="s">
        <v>223</v>
      </c>
    </row>
    <row r="41" spans="1:10" x14ac:dyDescent="0.25">
      <c r="A41" s="32">
        <v>45981.490868055553</v>
      </c>
      <c r="B41" s="30" t="s">
        <v>255</v>
      </c>
      <c r="C41" s="30">
        <v>168.61799999999999</v>
      </c>
      <c r="D41" s="30">
        <v>1.544</v>
      </c>
      <c r="E41" s="30">
        <v>0.41299999999999998</v>
      </c>
      <c r="F41" s="30">
        <v>3.3719999999999999</v>
      </c>
      <c r="G41" s="30">
        <v>2.1840000000000002</v>
      </c>
      <c r="H41" s="30">
        <v>50</v>
      </c>
      <c r="I41" s="30">
        <v>340</v>
      </c>
      <c r="J41" s="30">
        <v>3.4390000000000001</v>
      </c>
    </row>
    <row r="42" spans="1:10" x14ac:dyDescent="0.25">
      <c r="A42" s="32">
        <v>45981.492581018516</v>
      </c>
      <c r="B42" s="30" t="s">
        <v>256</v>
      </c>
      <c r="C42" s="30">
        <v>55.713000000000001</v>
      </c>
      <c r="D42" s="30">
        <v>1.579</v>
      </c>
      <c r="E42" s="30">
        <v>0.22900000000000001</v>
      </c>
      <c r="F42" s="30">
        <v>1.1140000000000001</v>
      </c>
      <c r="G42" s="30">
        <v>0.70599999999999996</v>
      </c>
      <c r="H42" s="30">
        <v>50</v>
      </c>
      <c r="I42" s="30">
        <v>340</v>
      </c>
      <c r="J42" s="30">
        <v>1.0840000000000001</v>
      </c>
    </row>
    <row r="43" spans="1:10" x14ac:dyDescent="0.25">
      <c r="A43" s="32">
        <v>45981.493923611109</v>
      </c>
      <c r="B43" s="30" t="s">
        <v>257</v>
      </c>
      <c r="C43" s="30">
        <v>18.716999999999999</v>
      </c>
      <c r="D43" s="30">
        <v>1.5920000000000001</v>
      </c>
      <c r="E43" s="30">
        <v>0.10100000000000001</v>
      </c>
      <c r="F43" s="30">
        <v>0.374</v>
      </c>
      <c r="G43" s="30">
        <v>0.23499999999999999</v>
      </c>
      <c r="H43" s="30">
        <v>50</v>
      </c>
      <c r="I43" s="30">
        <v>340</v>
      </c>
      <c r="J43" s="30">
        <v>0.34499999999999997</v>
      </c>
    </row>
    <row r="44" spans="1:10" x14ac:dyDescent="0.25">
      <c r="A44" s="32">
        <v>45981.495150462964</v>
      </c>
      <c r="B44" s="30" t="s">
        <v>85</v>
      </c>
      <c r="C44" s="30">
        <v>11.202999999999999</v>
      </c>
      <c r="D44" s="30">
        <v>1.619</v>
      </c>
      <c r="E44" s="30">
        <v>0.29499999999999998</v>
      </c>
      <c r="F44" s="30">
        <v>0.224</v>
      </c>
      <c r="G44" s="30">
        <v>0.13800000000000001</v>
      </c>
      <c r="H44" s="30">
        <v>50</v>
      </c>
      <c r="I44" s="30">
        <v>340</v>
      </c>
      <c r="J44" s="30">
        <v>0.187</v>
      </c>
    </row>
    <row r="45" spans="1:10" x14ac:dyDescent="0.25">
      <c r="A45" s="30"/>
      <c r="B45" s="30"/>
      <c r="C45" s="30"/>
      <c r="D45" s="30"/>
      <c r="E45" s="30"/>
      <c r="F45" s="30"/>
      <c r="G45" s="30"/>
      <c r="H45" s="30"/>
      <c r="I45" s="30"/>
      <c r="J45" s="30"/>
    </row>
    <row r="46" spans="1:10" x14ac:dyDescent="0.25">
      <c r="A46" s="34" t="s">
        <v>214</v>
      </c>
      <c r="B46" s="34" t="s">
        <v>215</v>
      </c>
      <c r="C46" s="34" t="s">
        <v>216</v>
      </c>
      <c r="D46" s="34" t="s">
        <v>217</v>
      </c>
      <c r="E46" s="34" t="s">
        <v>218</v>
      </c>
      <c r="F46" s="34" t="s">
        <v>219</v>
      </c>
      <c r="G46" s="34" t="s">
        <v>220</v>
      </c>
      <c r="H46" s="34" t="s">
        <v>221</v>
      </c>
      <c r="I46" s="34" t="s">
        <v>222</v>
      </c>
      <c r="J46" s="34" t="s">
        <v>223</v>
      </c>
    </row>
    <row r="47" spans="1:10" x14ac:dyDescent="0.25">
      <c r="A47" s="32">
        <v>45982.498252314814</v>
      </c>
      <c r="B47" s="30" t="s">
        <v>258</v>
      </c>
      <c r="C47" s="30">
        <v>46.597999999999999</v>
      </c>
      <c r="D47" s="30">
        <v>1.5509999999999999</v>
      </c>
      <c r="E47" s="30">
        <v>0.26800000000000002</v>
      </c>
      <c r="F47" s="30">
        <v>0.93200000000000005</v>
      </c>
      <c r="G47" s="30">
        <v>0.60099999999999998</v>
      </c>
      <c r="H47" s="30">
        <v>50</v>
      </c>
      <c r="I47" s="30">
        <v>340</v>
      </c>
      <c r="J47" s="30">
        <v>0.94899999999999995</v>
      </c>
    </row>
    <row r="48" spans="1:10" x14ac:dyDescent="0.25">
      <c r="A48" s="32">
        <v>45982.499143518522</v>
      </c>
      <c r="B48" s="30" t="s">
        <v>259</v>
      </c>
      <c r="C48" s="30">
        <v>19.276</v>
      </c>
      <c r="D48" s="30">
        <v>1.5609999999999999</v>
      </c>
      <c r="E48" s="30">
        <v>0.52</v>
      </c>
      <c r="F48" s="30">
        <v>0.38600000000000001</v>
      </c>
      <c r="G48" s="30">
        <v>0.247</v>
      </c>
      <c r="H48" s="30">
        <v>50</v>
      </c>
      <c r="I48" s="30">
        <v>340</v>
      </c>
      <c r="J48" s="30">
        <v>0.40100000000000002</v>
      </c>
    </row>
    <row r="49" spans="1:10" x14ac:dyDescent="0.25">
      <c r="A49" s="32">
        <v>45982.499942129631</v>
      </c>
      <c r="B49" s="30" t="s">
        <v>260</v>
      </c>
      <c r="C49" s="30">
        <v>9.2940000000000005</v>
      </c>
      <c r="D49" s="30">
        <v>1.579</v>
      </c>
      <c r="E49" s="30">
        <v>0.20300000000000001</v>
      </c>
      <c r="F49" s="30">
        <v>0.186</v>
      </c>
      <c r="G49" s="30">
        <v>0.11799999999999999</v>
      </c>
      <c r="H49" s="30">
        <v>50</v>
      </c>
      <c r="I49" s="30">
        <v>340</v>
      </c>
      <c r="J49" s="30">
        <v>0.20300000000000001</v>
      </c>
    </row>
    <row r="50" spans="1:10" x14ac:dyDescent="0.25">
      <c r="A50" s="32">
        <v>45982.500763888886</v>
      </c>
      <c r="B50" s="30" t="s">
        <v>261</v>
      </c>
      <c r="C50" s="30">
        <v>1.1140000000000001</v>
      </c>
      <c r="D50" s="30">
        <v>1.8069999999999999</v>
      </c>
      <c r="E50" s="30">
        <v>0.128</v>
      </c>
      <c r="F50" s="30">
        <v>2.1999999999999999E-2</v>
      </c>
      <c r="G50" s="30">
        <v>1.2E-2</v>
      </c>
      <c r="H50" s="30">
        <v>50</v>
      </c>
      <c r="I50" s="30">
        <v>340</v>
      </c>
      <c r="J50" s="30">
        <v>4.1000000000000002E-2</v>
      </c>
    </row>
    <row r="51" spans="1:10" x14ac:dyDescent="0.25">
      <c r="A51" s="32">
        <v>45982.50199074074</v>
      </c>
      <c r="B51" s="30" t="s">
        <v>261</v>
      </c>
      <c r="C51" s="30">
        <v>1.7869999999999999</v>
      </c>
      <c r="D51" s="30">
        <v>1.075</v>
      </c>
      <c r="E51" s="30">
        <v>0.182</v>
      </c>
      <c r="F51" s="30">
        <v>3.5999999999999997E-2</v>
      </c>
      <c r="G51" s="30">
        <v>3.3000000000000002E-2</v>
      </c>
      <c r="H51" s="30">
        <v>50</v>
      </c>
      <c r="I51" s="30">
        <v>340</v>
      </c>
      <c r="J51" s="30">
        <v>3.7999999999999999E-2</v>
      </c>
    </row>
    <row r="52" spans="1:10" x14ac:dyDescent="0.25">
      <c r="A52" s="32">
        <v>45982.503668981481</v>
      </c>
      <c r="B52" s="30" t="s">
        <v>262</v>
      </c>
      <c r="C52" s="30">
        <v>1.7569999999999999</v>
      </c>
      <c r="D52" s="30">
        <v>1.2529999999999999</v>
      </c>
      <c r="E52" s="30">
        <v>4.9000000000000002E-2</v>
      </c>
      <c r="F52" s="30">
        <v>3.5000000000000003E-2</v>
      </c>
      <c r="G52" s="30">
        <v>2.8000000000000001E-2</v>
      </c>
      <c r="H52" s="30">
        <v>50</v>
      </c>
      <c r="I52" s="30">
        <v>340</v>
      </c>
      <c r="J52" s="30">
        <v>5.0999999999999997E-2</v>
      </c>
    </row>
    <row r="53" spans="1:10" x14ac:dyDescent="0.25">
      <c r="A53" s="32">
        <v>45982.504363425927</v>
      </c>
      <c r="B53" s="30" t="s">
        <v>262</v>
      </c>
      <c r="C53" s="30">
        <v>0.76500000000000001</v>
      </c>
      <c r="D53" s="30">
        <v>1.004</v>
      </c>
      <c r="E53" s="30">
        <v>2.1999999999999999E-2</v>
      </c>
      <c r="F53" s="30">
        <v>1.4999999999999999E-2</v>
      </c>
      <c r="G53" s="30">
        <v>1.4999999999999999E-2</v>
      </c>
      <c r="H53" s="30">
        <v>50</v>
      </c>
      <c r="I53" s="30">
        <v>340</v>
      </c>
      <c r="J53" s="30">
        <v>2.5000000000000001E-2</v>
      </c>
    </row>
    <row r="54" spans="1:10" x14ac:dyDescent="0.25">
      <c r="A54" s="32">
        <v>45982.50503472222</v>
      </c>
      <c r="B54" s="30" t="s">
        <v>263</v>
      </c>
      <c r="C54" s="30">
        <v>-5.0999999999999997E-2</v>
      </c>
      <c r="D54" s="30">
        <v>0.35099999999999998</v>
      </c>
      <c r="E54" s="30">
        <v>0</v>
      </c>
      <c r="F54" s="30">
        <v>-1E-3</v>
      </c>
      <c r="G54" s="30">
        <v>-3.0000000000000001E-3</v>
      </c>
      <c r="H54" s="30">
        <v>50</v>
      </c>
      <c r="I54" s="30">
        <v>340</v>
      </c>
      <c r="J54" s="30">
        <v>-0.29399999999999998</v>
      </c>
    </row>
    <row r="55" spans="1:10" x14ac:dyDescent="0.25">
      <c r="A55" s="32">
        <v>45982.510289351849</v>
      </c>
      <c r="B55" s="30" t="s">
        <v>264</v>
      </c>
      <c r="C55" s="30">
        <v>0.96499999999999997</v>
      </c>
      <c r="D55" s="30">
        <v>0.71499999999999997</v>
      </c>
      <c r="E55" s="30">
        <v>2.4E-2</v>
      </c>
      <c r="F55" s="30">
        <v>1.9E-2</v>
      </c>
      <c r="G55" s="30">
        <v>2.7E-2</v>
      </c>
      <c r="H55" s="30">
        <v>50</v>
      </c>
      <c r="I55" s="30">
        <v>340</v>
      </c>
      <c r="J55" s="30">
        <v>-0.23699999999999999</v>
      </c>
    </row>
    <row r="56" spans="1:10" x14ac:dyDescent="0.25">
      <c r="A56" s="32">
        <v>45982.511180555557</v>
      </c>
      <c r="B56" s="30" t="s">
        <v>265</v>
      </c>
      <c r="C56" s="30">
        <v>7.4999999999999997E-2</v>
      </c>
      <c r="D56" s="30">
        <v>-2.0760000000000001</v>
      </c>
      <c r="E56" s="30">
        <v>1E-3</v>
      </c>
      <c r="F56" s="30">
        <v>2E-3</v>
      </c>
      <c r="G56" s="30">
        <v>-1E-3</v>
      </c>
      <c r="H56" s="30">
        <v>50</v>
      </c>
      <c r="I56" s="30">
        <v>340</v>
      </c>
      <c r="J56" s="30">
        <v>0.04</v>
      </c>
    </row>
    <row r="57" spans="1:10" x14ac:dyDescent="0.25">
      <c r="A57" s="30"/>
      <c r="B57" s="30"/>
      <c r="C57" s="30"/>
      <c r="D57" s="30"/>
      <c r="E57" s="30"/>
      <c r="F57" s="30"/>
      <c r="G57" s="30"/>
      <c r="H57" s="30"/>
      <c r="I57" s="30"/>
      <c r="J57" s="30"/>
    </row>
    <row r="58" spans="1:10" x14ac:dyDescent="0.25">
      <c r="A58" s="34" t="s">
        <v>214</v>
      </c>
      <c r="B58" s="34" t="s">
        <v>215</v>
      </c>
      <c r="C58" s="34" t="s">
        <v>216</v>
      </c>
      <c r="D58" s="34" t="s">
        <v>217</v>
      </c>
      <c r="E58" s="34" t="s">
        <v>218</v>
      </c>
      <c r="F58" s="34" t="s">
        <v>219</v>
      </c>
      <c r="G58" s="34" t="s">
        <v>220</v>
      </c>
      <c r="H58" s="34" t="s">
        <v>221</v>
      </c>
      <c r="I58" s="34" t="s">
        <v>222</v>
      </c>
      <c r="J58" s="34" t="s">
        <v>223</v>
      </c>
    </row>
    <row r="59" spans="1:10" x14ac:dyDescent="0.25">
      <c r="A59" s="32">
        <v>45985.456516203703</v>
      </c>
      <c r="B59" s="30" t="s">
        <v>267</v>
      </c>
      <c r="C59" s="30">
        <v>6.0389999999999997</v>
      </c>
      <c r="D59" s="30">
        <v>1.929</v>
      </c>
      <c r="E59" s="30">
        <v>1.4E-2</v>
      </c>
      <c r="F59" s="30">
        <v>0.121</v>
      </c>
      <c r="G59" s="30">
        <v>6.3E-2</v>
      </c>
      <c r="H59" s="30">
        <v>50</v>
      </c>
      <c r="I59" s="30">
        <v>340</v>
      </c>
      <c r="J59" s="30">
        <v>9.9000000000000005E-2</v>
      </c>
    </row>
    <row r="60" spans="1:10" x14ac:dyDescent="0.25">
      <c r="A60" s="32">
        <v>45985.457372685189</v>
      </c>
      <c r="B60" s="30" t="s">
        <v>266</v>
      </c>
      <c r="C60" s="30">
        <v>36.073</v>
      </c>
      <c r="D60" s="30">
        <v>1.5329999999999999</v>
      </c>
      <c r="E60" s="30">
        <v>0.45100000000000001</v>
      </c>
      <c r="F60" s="30">
        <v>0.72099999999999997</v>
      </c>
      <c r="G60" s="30">
        <v>0.47</v>
      </c>
      <c r="H60" s="30">
        <v>50</v>
      </c>
      <c r="I60" s="30">
        <v>340</v>
      </c>
      <c r="J60" s="30">
        <v>0.74199999999999999</v>
      </c>
    </row>
    <row r="61" spans="1:10" x14ac:dyDescent="0.25">
      <c r="A61" s="32">
        <v>45985.45826388889</v>
      </c>
      <c r="B61" s="30" t="s">
        <v>268</v>
      </c>
      <c r="C61" s="30">
        <v>6.399</v>
      </c>
      <c r="D61" s="30">
        <v>1.6060000000000001</v>
      </c>
      <c r="E61" s="30">
        <v>0.02</v>
      </c>
      <c r="F61" s="30">
        <v>0.128</v>
      </c>
      <c r="G61" s="30">
        <v>0.08</v>
      </c>
      <c r="H61" s="30">
        <v>50</v>
      </c>
      <c r="I61" s="30">
        <v>340</v>
      </c>
      <c r="J61" s="30">
        <v>9.5000000000000001E-2</v>
      </c>
    </row>
    <row r="62" spans="1:10" x14ac:dyDescent="0.25">
      <c r="A62" s="32">
        <v>45985.45952546296</v>
      </c>
      <c r="B62" s="30" t="s">
        <v>269</v>
      </c>
      <c r="C62" s="30">
        <v>54.476999999999997</v>
      </c>
      <c r="D62" s="30">
        <v>1.5569999999999999</v>
      </c>
      <c r="E62" s="30">
        <v>0.19</v>
      </c>
      <c r="F62" s="30">
        <v>1.0900000000000001</v>
      </c>
      <c r="G62" s="30">
        <v>0.7</v>
      </c>
      <c r="H62" s="30">
        <v>50</v>
      </c>
      <c r="I62" s="30">
        <v>340</v>
      </c>
      <c r="J62" s="30">
        <v>0.99199999999999999</v>
      </c>
    </row>
    <row r="63" spans="1:10" x14ac:dyDescent="0.25">
      <c r="A63" s="32">
        <v>45985.460717592592</v>
      </c>
      <c r="B63" s="30" t="s">
        <v>270</v>
      </c>
      <c r="C63" s="30">
        <v>15.898</v>
      </c>
      <c r="D63" s="30">
        <v>1.5289999999999999</v>
      </c>
      <c r="E63" s="30">
        <v>0.42899999999999999</v>
      </c>
      <c r="F63" s="30">
        <v>0.318</v>
      </c>
      <c r="G63" s="30">
        <v>0.20799999999999999</v>
      </c>
      <c r="H63" s="30">
        <v>50</v>
      </c>
      <c r="I63" s="30">
        <v>340</v>
      </c>
      <c r="J63" s="30">
        <v>0.31</v>
      </c>
    </row>
    <row r="64" spans="1:10" x14ac:dyDescent="0.25">
      <c r="A64" s="32">
        <v>45985.461678240739</v>
      </c>
      <c r="B64" s="30" t="s">
        <v>271</v>
      </c>
      <c r="C64" s="30">
        <v>49.195999999999998</v>
      </c>
      <c r="D64" s="30">
        <v>1.5129999999999999</v>
      </c>
      <c r="E64" s="30">
        <v>0.46899999999999997</v>
      </c>
      <c r="F64" s="30">
        <v>0.98399999999999999</v>
      </c>
      <c r="G64" s="30">
        <v>0.65</v>
      </c>
      <c r="H64" s="30">
        <v>50</v>
      </c>
      <c r="I64" s="30">
        <v>340</v>
      </c>
      <c r="J64" s="30">
        <v>1.018</v>
      </c>
    </row>
    <row r="66" spans="1:10" x14ac:dyDescent="0.25">
      <c r="A66" s="34" t="s">
        <v>214</v>
      </c>
      <c r="B66" s="34" t="s">
        <v>215</v>
      </c>
      <c r="C66" s="34" t="s">
        <v>216</v>
      </c>
      <c r="D66" s="34" t="s">
        <v>217</v>
      </c>
      <c r="E66" s="34" t="s">
        <v>218</v>
      </c>
      <c r="F66" s="34" t="s">
        <v>219</v>
      </c>
      <c r="G66" s="34" t="s">
        <v>220</v>
      </c>
      <c r="H66" s="34" t="s">
        <v>221</v>
      </c>
      <c r="I66" s="34" t="s">
        <v>222</v>
      </c>
      <c r="J66" s="34" t="s">
        <v>223</v>
      </c>
    </row>
    <row r="67" spans="1:10" x14ac:dyDescent="0.25">
      <c r="A67" s="32">
        <v>45986.507175925923</v>
      </c>
      <c r="B67" s="30" t="s">
        <v>273</v>
      </c>
      <c r="C67" s="30">
        <v>121.378</v>
      </c>
      <c r="D67" s="30">
        <v>1.8919999999999999</v>
      </c>
      <c r="E67" s="30">
        <v>0.26700000000000002</v>
      </c>
      <c r="F67" s="30">
        <v>2.4279999999999999</v>
      </c>
      <c r="G67" s="30">
        <v>1.2829999999999999</v>
      </c>
      <c r="H67" s="30">
        <v>50</v>
      </c>
      <c r="I67" s="30">
        <v>340</v>
      </c>
      <c r="J67" s="30">
        <v>1.9E-2</v>
      </c>
    </row>
    <row r="68" spans="1:10" x14ac:dyDescent="0.25">
      <c r="A68" s="32">
        <v>45986.508634259262</v>
      </c>
      <c r="B68" s="30" t="s">
        <v>274</v>
      </c>
      <c r="C68" s="30">
        <v>20.12</v>
      </c>
      <c r="D68" s="30">
        <v>2.2469999999999999</v>
      </c>
      <c r="E68" s="30">
        <v>2.1999999999999999E-2</v>
      </c>
      <c r="F68" s="30">
        <v>0.40200000000000002</v>
      </c>
      <c r="G68" s="30">
        <v>0.17899999999999999</v>
      </c>
      <c r="H68" s="30">
        <v>50</v>
      </c>
      <c r="I68" s="30">
        <v>340</v>
      </c>
      <c r="J68" s="30">
        <v>3.4000000000000002E-2</v>
      </c>
    </row>
    <row r="69" spans="1:10" x14ac:dyDescent="0.25">
      <c r="A69" s="32">
        <v>45986.509282407409</v>
      </c>
      <c r="B69" s="30" t="s">
        <v>274</v>
      </c>
      <c r="C69" s="30">
        <v>19.963999999999999</v>
      </c>
      <c r="D69" s="30">
        <v>2.177</v>
      </c>
      <c r="E69" s="30">
        <v>2.1000000000000001E-2</v>
      </c>
      <c r="F69" s="30">
        <v>0.39900000000000002</v>
      </c>
      <c r="G69" s="30">
        <v>0.183</v>
      </c>
      <c r="H69" s="30">
        <v>50</v>
      </c>
      <c r="I69" s="30">
        <v>340</v>
      </c>
      <c r="J69" s="30">
        <v>3.0000000000000001E-3</v>
      </c>
    </row>
    <row r="70" spans="1:10" x14ac:dyDescent="0.25">
      <c r="A70" s="32">
        <v>45986.51053240741</v>
      </c>
      <c r="B70" s="30" t="s">
        <v>275</v>
      </c>
      <c r="C70" s="30">
        <v>1.0149999999999999</v>
      </c>
      <c r="D70" s="30">
        <v>-1.556</v>
      </c>
      <c r="E70" s="30">
        <v>3.0000000000000001E-3</v>
      </c>
      <c r="F70" s="30">
        <v>0.02</v>
      </c>
      <c r="G70" s="30">
        <v>-1.2999999999999999E-2</v>
      </c>
      <c r="H70" s="30">
        <v>50</v>
      </c>
      <c r="I70" s="30">
        <v>340</v>
      </c>
      <c r="J70" s="30">
        <v>5.2999999999999999E-2</v>
      </c>
    </row>
    <row r="71" spans="1:10" x14ac:dyDescent="0.25">
      <c r="A71" s="32">
        <v>45986.511145833334</v>
      </c>
      <c r="B71" s="30" t="s">
        <v>275</v>
      </c>
      <c r="C71" s="30">
        <v>1.1950000000000001</v>
      </c>
      <c r="D71" s="30">
        <v>-3.004</v>
      </c>
      <c r="E71" s="30">
        <v>4.0000000000000001E-3</v>
      </c>
      <c r="F71" s="30">
        <v>2.4E-2</v>
      </c>
      <c r="G71" s="30">
        <v>-8.0000000000000002E-3</v>
      </c>
      <c r="H71" s="30">
        <v>50</v>
      </c>
      <c r="I71" s="30">
        <v>340</v>
      </c>
      <c r="J71" s="30">
        <v>2.1999999999999999E-2</v>
      </c>
    </row>
    <row r="72" spans="1:10" x14ac:dyDescent="0.25">
      <c r="A72" s="32">
        <v>45986.512037037035</v>
      </c>
      <c r="B72" s="30" t="s">
        <v>276</v>
      </c>
      <c r="C72" s="30">
        <v>1.444</v>
      </c>
      <c r="D72" s="30">
        <v>2.8279999999999998</v>
      </c>
      <c r="E72" s="30">
        <v>8.9999999999999993E-3</v>
      </c>
      <c r="F72" s="30">
        <v>2.9000000000000001E-2</v>
      </c>
      <c r="G72" s="30">
        <v>0.01</v>
      </c>
      <c r="H72" s="30">
        <v>50</v>
      </c>
      <c r="I72" s="30">
        <v>340</v>
      </c>
      <c r="J72" s="30">
        <v>5.7000000000000002E-2</v>
      </c>
    </row>
    <row r="73" spans="1:10" x14ac:dyDescent="0.25">
      <c r="A73" s="32">
        <v>45986.513113425928</v>
      </c>
      <c r="B73" s="30" t="s">
        <v>277</v>
      </c>
      <c r="C73" s="30">
        <v>2.0699999999999998</v>
      </c>
      <c r="D73" s="30">
        <v>21.207999999999998</v>
      </c>
      <c r="E73" s="30">
        <v>4.0000000000000001E-3</v>
      </c>
      <c r="F73" s="30">
        <v>4.1000000000000002E-2</v>
      </c>
      <c r="G73" s="30">
        <v>2E-3</v>
      </c>
      <c r="H73" s="30">
        <v>50</v>
      </c>
      <c r="I73" s="30">
        <v>340</v>
      </c>
      <c r="J73" s="30">
        <v>2.7E-2</v>
      </c>
    </row>
    <row r="74" spans="1:10" x14ac:dyDescent="0.25">
      <c r="A74" s="32">
        <v>45986.514120370368</v>
      </c>
      <c r="B74" s="30" t="s">
        <v>278</v>
      </c>
      <c r="C74" s="30">
        <v>2.3210000000000002</v>
      </c>
      <c r="D74" s="30">
        <v>-5.0090000000000003</v>
      </c>
      <c r="E74" s="30">
        <v>3.0000000000000001E-3</v>
      </c>
      <c r="F74" s="30">
        <v>4.5999999999999999E-2</v>
      </c>
      <c r="G74" s="30">
        <v>-8.9999999999999993E-3</v>
      </c>
      <c r="H74" s="30">
        <v>50</v>
      </c>
      <c r="I74" s="30">
        <v>340</v>
      </c>
      <c r="J74" s="30">
        <v>2.5000000000000001E-2</v>
      </c>
    </row>
    <row r="76" spans="1:10" x14ac:dyDescent="0.25">
      <c r="A76" s="34" t="s">
        <v>214</v>
      </c>
      <c r="B76" s="34" t="s">
        <v>215</v>
      </c>
      <c r="C76" s="34" t="s">
        <v>216</v>
      </c>
      <c r="D76" s="34" t="s">
        <v>217</v>
      </c>
      <c r="E76" s="34" t="s">
        <v>218</v>
      </c>
      <c r="F76" s="34" t="s">
        <v>219</v>
      </c>
      <c r="G76" s="34" t="s">
        <v>220</v>
      </c>
      <c r="H76" s="34" t="s">
        <v>221</v>
      </c>
      <c r="I76" s="34" t="s">
        <v>222</v>
      </c>
      <c r="J76" s="34" t="s">
        <v>223</v>
      </c>
    </row>
    <row r="77" spans="1:10" x14ac:dyDescent="0.25">
      <c r="A77" s="32">
        <v>45987.522905092592</v>
      </c>
      <c r="B77" s="30" t="s">
        <v>279</v>
      </c>
      <c r="C77" s="30">
        <v>18.818999999999999</v>
      </c>
      <c r="D77" s="30">
        <v>1.544</v>
      </c>
      <c r="E77" s="30">
        <v>0.14799999999999999</v>
      </c>
      <c r="F77" s="30">
        <v>0.376</v>
      </c>
      <c r="G77" s="30">
        <v>0.24399999999999999</v>
      </c>
      <c r="H77" s="30">
        <v>50</v>
      </c>
      <c r="I77" s="30">
        <v>340</v>
      </c>
      <c r="J77" s="30">
        <v>0.39900000000000002</v>
      </c>
    </row>
    <row r="78" spans="1:10" x14ac:dyDescent="0.25">
      <c r="A78" s="32">
        <v>45987.524363425924</v>
      </c>
      <c r="B78" s="30" t="s">
        <v>280</v>
      </c>
      <c r="C78" s="30">
        <v>0.45600000000000002</v>
      </c>
      <c r="D78" s="30">
        <v>4.8079999999999998</v>
      </c>
      <c r="E78" s="30">
        <v>4.0000000000000001E-3</v>
      </c>
      <c r="F78" s="30">
        <v>8.9999999999999993E-3</v>
      </c>
      <c r="G78" s="30">
        <v>2E-3</v>
      </c>
      <c r="H78" s="30">
        <v>50</v>
      </c>
      <c r="I78" s="30">
        <v>340</v>
      </c>
      <c r="J78" s="30">
        <v>1.4999999999999999E-2</v>
      </c>
    </row>
    <row r="79" spans="1:10" x14ac:dyDescent="0.25">
      <c r="A79" s="32">
        <v>45987.525347222225</v>
      </c>
      <c r="B79" s="30" t="s">
        <v>281</v>
      </c>
      <c r="C79" s="30">
        <v>2.5089999999999999</v>
      </c>
      <c r="D79" s="30">
        <v>1.329</v>
      </c>
      <c r="E79" s="30">
        <v>2.1999999999999999E-2</v>
      </c>
      <c r="F79" s="30">
        <v>0.05</v>
      </c>
      <c r="G79" s="30">
        <v>3.7999999999999999E-2</v>
      </c>
      <c r="H79" s="30">
        <v>50</v>
      </c>
      <c r="I79" s="30">
        <v>340</v>
      </c>
      <c r="J79" s="30">
        <v>7.4999999999999997E-2</v>
      </c>
    </row>
    <row r="80" spans="1:10" x14ac:dyDescent="0.25">
      <c r="A80" s="32">
        <v>45987.526064814818</v>
      </c>
      <c r="B80" s="30" t="s">
        <v>53</v>
      </c>
      <c r="C80" s="30">
        <v>27.352</v>
      </c>
      <c r="D80" s="30">
        <v>1.54</v>
      </c>
      <c r="E80" s="30">
        <v>0.24099999999999999</v>
      </c>
      <c r="F80" s="30">
        <v>0.54700000000000004</v>
      </c>
      <c r="G80" s="30">
        <v>0.35499999999999998</v>
      </c>
      <c r="H80" s="30">
        <v>50</v>
      </c>
      <c r="I80" s="30">
        <v>340</v>
      </c>
      <c r="J80" s="30">
        <v>0.59</v>
      </c>
    </row>
    <row r="81" spans="1:10" x14ac:dyDescent="0.25">
      <c r="A81" s="32">
        <v>45987.526932870373</v>
      </c>
      <c r="B81" s="30" t="s">
        <v>57</v>
      </c>
      <c r="C81" s="30">
        <v>10.414999999999999</v>
      </c>
      <c r="D81" s="30">
        <v>1.4059999999999999</v>
      </c>
      <c r="E81" s="30">
        <v>0.40300000000000002</v>
      </c>
      <c r="F81" s="30">
        <v>0.20799999999999999</v>
      </c>
      <c r="G81" s="30">
        <v>0.14799999999999999</v>
      </c>
      <c r="H81" s="30">
        <v>50</v>
      </c>
      <c r="I81" s="30">
        <v>340</v>
      </c>
      <c r="J81" s="30">
        <v>0.23</v>
      </c>
    </row>
    <row r="82" spans="1:10" x14ac:dyDescent="0.25">
      <c r="A82" s="32">
        <v>45987.527789351851</v>
      </c>
      <c r="B82" s="30" t="s">
        <v>69</v>
      </c>
      <c r="C82" s="30">
        <v>28.433</v>
      </c>
      <c r="D82" s="30">
        <v>1.514</v>
      </c>
      <c r="E82" s="30">
        <v>0.19800000000000001</v>
      </c>
      <c r="F82" s="30">
        <v>0.56899999999999995</v>
      </c>
      <c r="G82" s="30">
        <v>0.376</v>
      </c>
      <c r="H82" s="30">
        <v>50</v>
      </c>
      <c r="I82" s="30">
        <v>340</v>
      </c>
      <c r="J82" s="30">
        <v>0.60899999999999999</v>
      </c>
    </row>
    <row r="83" spans="1:10" x14ac:dyDescent="0.25">
      <c r="A83" s="32">
        <v>45987.528680555559</v>
      </c>
      <c r="B83" s="30" t="s">
        <v>73</v>
      </c>
      <c r="C83" s="30">
        <v>27.082999999999998</v>
      </c>
      <c r="D83" s="30">
        <v>1.5780000000000001</v>
      </c>
      <c r="E83" s="30">
        <v>0.60699999999999998</v>
      </c>
      <c r="F83" s="30">
        <v>0.54200000000000004</v>
      </c>
      <c r="G83" s="30">
        <v>0.34300000000000003</v>
      </c>
      <c r="H83" s="30">
        <v>50</v>
      </c>
      <c r="I83" s="30">
        <v>340</v>
      </c>
      <c r="J83" s="30">
        <v>0.372</v>
      </c>
    </row>
    <row r="84" spans="1:10" x14ac:dyDescent="0.25">
      <c r="A84" s="32">
        <v>45987.529675925929</v>
      </c>
      <c r="B84" s="30" t="s">
        <v>77</v>
      </c>
      <c r="C84" s="30">
        <v>20.954999999999998</v>
      </c>
      <c r="D84" s="30">
        <v>1.6120000000000001</v>
      </c>
      <c r="E84" s="30">
        <v>0.22500000000000001</v>
      </c>
      <c r="F84" s="30">
        <v>0.41899999999999998</v>
      </c>
      <c r="G84" s="30">
        <v>0.26</v>
      </c>
      <c r="H84" s="30">
        <v>50</v>
      </c>
      <c r="I84" s="30">
        <v>340</v>
      </c>
      <c r="J84" s="30">
        <v>0.16900000000000001</v>
      </c>
    </row>
    <row r="86" spans="1:10" x14ac:dyDescent="0.25">
      <c r="A86" s="34" t="s">
        <v>214</v>
      </c>
      <c r="B86" s="34" t="s">
        <v>215</v>
      </c>
      <c r="C86" s="34" t="s">
        <v>216</v>
      </c>
      <c r="D86" s="34" t="s">
        <v>217</v>
      </c>
      <c r="E86" s="34" t="s">
        <v>218</v>
      </c>
      <c r="F86" s="34" t="s">
        <v>219</v>
      </c>
      <c r="G86" s="34" t="s">
        <v>220</v>
      </c>
      <c r="H86" s="34" t="s">
        <v>221</v>
      </c>
      <c r="I86" s="34" t="s">
        <v>222</v>
      </c>
      <c r="J86" s="34" t="s">
        <v>223</v>
      </c>
    </row>
    <row r="87" spans="1:10" x14ac:dyDescent="0.25">
      <c r="A87" s="32">
        <v>45989.494016203702</v>
      </c>
      <c r="B87" s="30" t="s">
        <v>283</v>
      </c>
      <c r="C87" s="30">
        <v>5.641</v>
      </c>
      <c r="D87" s="30">
        <v>1.698</v>
      </c>
      <c r="E87" s="30">
        <v>0.48</v>
      </c>
      <c r="F87" s="30">
        <v>0.113</v>
      </c>
      <c r="G87" s="30">
        <v>6.6000000000000003E-2</v>
      </c>
      <c r="H87" s="30">
        <v>50</v>
      </c>
      <c r="I87" s="30">
        <v>340</v>
      </c>
      <c r="J87" s="30">
        <v>-1.0999999999999999E-2</v>
      </c>
    </row>
    <row r="88" spans="1:10" x14ac:dyDescent="0.25">
      <c r="A88" s="32">
        <v>45989.495439814818</v>
      </c>
      <c r="B88" s="30" t="s">
        <v>284</v>
      </c>
      <c r="C88" s="30">
        <v>7.3760000000000003</v>
      </c>
      <c r="D88" s="30">
        <v>1.7809999999999999</v>
      </c>
      <c r="E88" s="30">
        <v>0.57899999999999996</v>
      </c>
      <c r="F88" s="30">
        <v>0.14799999999999999</v>
      </c>
      <c r="G88" s="30">
        <v>8.3000000000000004E-2</v>
      </c>
      <c r="H88" s="30">
        <v>50</v>
      </c>
      <c r="I88" s="30">
        <v>340</v>
      </c>
      <c r="J88" s="30">
        <v>1.4E-2</v>
      </c>
    </row>
    <row r="89" spans="1:10" x14ac:dyDescent="0.25">
      <c r="A89" s="32">
        <v>45989.496249999997</v>
      </c>
      <c r="B89" s="30" t="s">
        <v>285</v>
      </c>
      <c r="C89" s="30">
        <v>5.9660000000000002</v>
      </c>
      <c r="D89" s="30">
        <v>1.6910000000000001</v>
      </c>
      <c r="E89" s="30">
        <v>0.50800000000000001</v>
      </c>
      <c r="F89" s="30">
        <v>0.11899999999999999</v>
      </c>
      <c r="G89" s="30">
        <v>7.0999999999999994E-2</v>
      </c>
      <c r="H89" s="30">
        <v>50</v>
      </c>
      <c r="I89" s="30">
        <v>340</v>
      </c>
      <c r="J89" s="30">
        <v>0.01</v>
      </c>
    </row>
    <row r="90" spans="1:10" x14ac:dyDescent="0.25">
      <c r="A90" s="32">
        <v>45989.497141203705</v>
      </c>
      <c r="B90" s="30" t="s">
        <v>286</v>
      </c>
      <c r="C90" s="30">
        <v>7.7590000000000003</v>
      </c>
      <c r="D90" s="30">
        <v>1.6579999999999999</v>
      </c>
      <c r="E90" s="30">
        <v>0.57999999999999996</v>
      </c>
      <c r="F90" s="30">
        <v>0.155</v>
      </c>
      <c r="G90" s="30">
        <v>9.4E-2</v>
      </c>
      <c r="H90" s="30">
        <v>50</v>
      </c>
      <c r="I90" s="30">
        <v>340</v>
      </c>
      <c r="J90" s="30">
        <v>3.0000000000000001E-3</v>
      </c>
    </row>
    <row r="92" spans="1:10" x14ac:dyDescent="0.25">
      <c r="A92" s="34" t="s">
        <v>214</v>
      </c>
      <c r="B92" s="34" t="s">
        <v>215</v>
      </c>
      <c r="C92" s="34" t="s">
        <v>216</v>
      </c>
      <c r="D92" s="34" t="s">
        <v>217</v>
      </c>
      <c r="E92" s="34" t="s">
        <v>218</v>
      </c>
      <c r="F92" s="34" t="s">
        <v>219</v>
      </c>
      <c r="G92" s="34" t="s">
        <v>220</v>
      </c>
      <c r="H92" s="34" t="s">
        <v>221</v>
      </c>
      <c r="I92" s="34" t="s">
        <v>222</v>
      </c>
      <c r="J92" s="34" t="s">
        <v>223</v>
      </c>
    </row>
    <row r="93" spans="1:10" x14ac:dyDescent="0.25">
      <c r="A93" s="32">
        <v>45992.533206018517</v>
      </c>
      <c r="B93" s="30" t="s">
        <v>287</v>
      </c>
      <c r="C93" s="30">
        <v>-8.24</v>
      </c>
      <c r="D93" s="30">
        <v>3.1760000000000002</v>
      </c>
      <c r="E93" s="30">
        <v>0.872</v>
      </c>
      <c r="F93" s="30">
        <v>-0.16500000000000001</v>
      </c>
      <c r="G93" s="30">
        <v>-5.1999999999999998E-2</v>
      </c>
      <c r="H93" s="30">
        <v>50</v>
      </c>
      <c r="I93" s="30">
        <v>340</v>
      </c>
      <c r="J93" s="30">
        <v>-2.21</v>
      </c>
    </row>
    <row r="94" spans="1:10" x14ac:dyDescent="0.25">
      <c r="A94" s="32">
        <v>45992.533831018518</v>
      </c>
      <c r="B94" s="30" t="s">
        <v>287</v>
      </c>
      <c r="C94" s="30">
        <v>1.4930000000000001</v>
      </c>
      <c r="D94" s="30">
        <v>0.63300000000000001</v>
      </c>
      <c r="E94" s="30">
        <v>0.14599999999999999</v>
      </c>
      <c r="F94" s="30">
        <v>0.03</v>
      </c>
      <c r="G94" s="30">
        <v>4.7E-2</v>
      </c>
      <c r="H94" s="30">
        <v>50</v>
      </c>
      <c r="I94" s="30">
        <v>340</v>
      </c>
      <c r="J94" s="30">
        <v>-5.0000000000000001E-3</v>
      </c>
    </row>
    <row r="95" spans="1:10" x14ac:dyDescent="0.25">
      <c r="A95" s="32">
        <v>45992.534513888888</v>
      </c>
      <c r="B95" s="30" t="s">
        <v>288</v>
      </c>
      <c r="C95" s="30">
        <v>1.0129999999999999</v>
      </c>
      <c r="D95" s="30">
        <v>0.57499999999999996</v>
      </c>
      <c r="E95" s="30">
        <v>0.121</v>
      </c>
      <c r="F95" s="30">
        <v>0.02</v>
      </c>
      <c r="G95" s="30">
        <v>3.5000000000000003E-2</v>
      </c>
      <c r="H95" s="30">
        <v>50</v>
      </c>
      <c r="I95" s="30">
        <v>340</v>
      </c>
      <c r="J95" s="30">
        <v>-2E-3</v>
      </c>
    </row>
    <row r="96" spans="1:10" x14ac:dyDescent="0.25">
      <c r="A96" s="32">
        <v>45992.535081018519</v>
      </c>
      <c r="B96" s="30" t="s">
        <v>289</v>
      </c>
      <c r="C96" s="30">
        <v>5.58</v>
      </c>
      <c r="D96" s="30">
        <v>0.95699999999999996</v>
      </c>
      <c r="E96" s="30">
        <v>0.21</v>
      </c>
      <c r="F96" s="30">
        <v>0.112</v>
      </c>
      <c r="G96" s="30">
        <v>0.11700000000000001</v>
      </c>
      <c r="H96" s="30">
        <v>50</v>
      </c>
      <c r="I96" s="30">
        <v>340</v>
      </c>
      <c r="J96" s="30">
        <v>1.9E-2</v>
      </c>
    </row>
    <row r="97" spans="1:10" x14ac:dyDescent="0.25">
      <c r="A97" s="32">
        <v>45992.535995370374</v>
      </c>
      <c r="B97" s="30" t="s">
        <v>290</v>
      </c>
      <c r="C97" s="30">
        <v>1.651</v>
      </c>
      <c r="D97" s="30">
        <v>0.749</v>
      </c>
      <c r="E97" s="30">
        <v>0.34499999999999997</v>
      </c>
      <c r="F97" s="30">
        <v>3.3000000000000002E-2</v>
      </c>
      <c r="G97" s="30">
        <v>4.3999999999999997E-2</v>
      </c>
      <c r="H97" s="30">
        <v>50</v>
      </c>
      <c r="I97" s="30">
        <v>340</v>
      </c>
      <c r="J97" s="30">
        <v>1.5609999999999999</v>
      </c>
    </row>
    <row r="98" spans="1:10" x14ac:dyDescent="0.25">
      <c r="A98" s="32">
        <v>45992.536527777775</v>
      </c>
      <c r="B98" s="30" t="s">
        <v>291</v>
      </c>
      <c r="C98" s="30">
        <v>5.5679999999999996</v>
      </c>
      <c r="D98" s="30">
        <v>1.59</v>
      </c>
      <c r="E98" s="30">
        <v>0.94799999999999995</v>
      </c>
      <c r="F98" s="30">
        <v>0.111</v>
      </c>
      <c r="G98" s="30">
        <v>7.0000000000000007E-2</v>
      </c>
      <c r="H98" s="30">
        <v>50</v>
      </c>
      <c r="I98" s="30">
        <v>340</v>
      </c>
      <c r="J98" s="30">
        <v>0.126</v>
      </c>
    </row>
    <row r="99" spans="1:10" x14ac:dyDescent="0.25">
      <c r="A99" s="32">
        <v>45992.537060185183</v>
      </c>
      <c r="B99" s="30" t="s">
        <v>292</v>
      </c>
      <c r="C99" s="30">
        <v>1.6259999999999999</v>
      </c>
      <c r="D99" s="30">
        <v>0.80800000000000005</v>
      </c>
      <c r="E99" s="30">
        <v>0.20200000000000001</v>
      </c>
      <c r="F99" s="30">
        <v>3.3000000000000002E-2</v>
      </c>
      <c r="G99" s="30">
        <v>0.04</v>
      </c>
      <c r="H99" s="30">
        <v>50</v>
      </c>
      <c r="I99" s="30">
        <v>340</v>
      </c>
      <c r="J99" s="30">
        <v>4.2999999999999997E-2</v>
      </c>
    </row>
    <row r="100" spans="1:10" x14ac:dyDescent="0.25">
      <c r="A100" s="32">
        <v>45992.538136574076</v>
      </c>
      <c r="B100" s="30" t="s">
        <v>293</v>
      </c>
      <c r="C100" s="30">
        <v>0.26500000000000001</v>
      </c>
      <c r="D100" s="30">
        <v>0.77100000000000002</v>
      </c>
      <c r="E100" s="30">
        <v>-0.182</v>
      </c>
      <c r="F100" s="30">
        <v>5.0000000000000001E-3</v>
      </c>
      <c r="G100" s="30">
        <v>7.0000000000000001E-3</v>
      </c>
      <c r="H100" s="30">
        <v>50</v>
      </c>
      <c r="I100" s="30">
        <v>340</v>
      </c>
      <c r="J100" s="30">
        <v>2.7E-2</v>
      </c>
    </row>
    <row r="101" spans="1:10" x14ac:dyDescent="0.25">
      <c r="A101" s="32">
        <v>45992.53875</v>
      </c>
      <c r="B101" s="30" t="s">
        <v>294</v>
      </c>
      <c r="C101" s="30">
        <v>-8.7999999999999995E-2</v>
      </c>
      <c r="D101" s="30">
        <v>-0.13300000000000001</v>
      </c>
      <c r="E101" s="30">
        <v>-0.04</v>
      </c>
      <c r="F101" s="30">
        <v>-2E-3</v>
      </c>
      <c r="G101" s="30">
        <v>1.2999999999999999E-2</v>
      </c>
      <c r="H101" s="30">
        <v>50</v>
      </c>
      <c r="I101" s="30">
        <v>340</v>
      </c>
      <c r="J101" s="30">
        <v>-1.2E-2</v>
      </c>
    </row>
    <row r="102" spans="1:10" x14ac:dyDescent="0.25">
      <c r="A102" s="32">
        <v>45992.539120370369</v>
      </c>
      <c r="B102" s="30" t="s">
        <v>294</v>
      </c>
      <c r="C102" s="30">
        <v>0.59299999999999997</v>
      </c>
      <c r="D102" s="30">
        <v>0.53</v>
      </c>
      <c r="E102" s="30">
        <v>9.8000000000000004E-2</v>
      </c>
      <c r="F102" s="30">
        <v>1.2E-2</v>
      </c>
      <c r="G102" s="30">
        <v>2.1999999999999999E-2</v>
      </c>
      <c r="H102" s="30">
        <v>50</v>
      </c>
      <c r="I102" s="30">
        <v>340</v>
      </c>
      <c r="J102" s="30">
        <v>2.3E-2</v>
      </c>
    </row>
    <row r="103" spans="1:10" x14ac:dyDescent="0.25">
      <c r="A103" s="32">
        <v>45992.539722222224</v>
      </c>
      <c r="B103" s="30" t="s">
        <v>294</v>
      </c>
      <c r="C103" s="30">
        <v>4820.22</v>
      </c>
      <c r="D103" s="30">
        <v>1.988</v>
      </c>
      <c r="E103" s="30">
        <v>0.91100000000000003</v>
      </c>
      <c r="F103" s="30">
        <v>96.403999999999996</v>
      </c>
      <c r="G103" s="30">
        <v>48.497999999999998</v>
      </c>
      <c r="H103" s="30">
        <v>50</v>
      </c>
      <c r="I103" s="30">
        <v>340</v>
      </c>
      <c r="J103" s="30">
        <v>911.596</v>
      </c>
    </row>
    <row r="105" spans="1:10" x14ac:dyDescent="0.25">
      <c r="A105" s="34" t="s">
        <v>214</v>
      </c>
      <c r="B105" s="34" t="s">
        <v>215</v>
      </c>
      <c r="C105" s="34" t="s">
        <v>216</v>
      </c>
      <c r="D105" s="34" t="s">
        <v>217</v>
      </c>
      <c r="E105" s="34" t="s">
        <v>218</v>
      </c>
      <c r="F105" s="34" t="s">
        <v>219</v>
      </c>
      <c r="G105" s="34" t="s">
        <v>220</v>
      </c>
      <c r="H105" s="34" t="s">
        <v>221</v>
      </c>
      <c r="I105" s="34" t="s">
        <v>222</v>
      </c>
      <c r="J105" s="34" t="s">
        <v>223</v>
      </c>
    </row>
    <row r="106" spans="1:10" x14ac:dyDescent="0.25">
      <c r="A106" s="32">
        <v>45993.52988425926</v>
      </c>
      <c r="B106" s="30" t="s">
        <v>295</v>
      </c>
      <c r="C106" s="30">
        <v>6.101</v>
      </c>
      <c r="D106" s="30">
        <v>1.728</v>
      </c>
      <c r="E106" s="30">
        <v>0.48699999999999999</v>
      </c>
      <c r="F106" s="30">
        <v>0.122</v>
      </c>
      <c r="G106" s="30">
        <v>7.0999999999999994E-2</v>
      </c>
      <c r="H106" s="30">
        <v>50</v>
      </c>
      <c r="I106" s="30">
        <v>340</v>
      </c>
      <c r="J106" s="30">
        <v>5.0000000000000001E-3</v>
      </c>
    </row>
    <row r="107" spans="1:10" x14ac:dyDescent="0.25">
      <c r="A107" s="32">
        <v>45993.532164351855</v>
      </c>
      <c r="B107" s="30" t="s">
        <v>296</v>
      </c>
      <c r="C107" s="30">
        <v>6.6680000000000001</v>
      </c>
      <c r="D107" s="30">
        <v>1.498</v>
      </c>
      <c r="E107" s="30">
        <v>0.41699999999999998</v>
      </c>
      <c r="F107" s="30">
        <v>0.13300000000000001</v>
      </c>
      <c r="G107" s="30">
        <v>8.8999999999999996E-2</v>
      </c>
      <c r="H107" s="30">
        <v>50</v>
      </c>
      <c r="I107" s="30">
        <v>340</v>
      </c>
      <c r="J107" s="30">
        <v>2.5999999999999999E-2</v>
      </c>
    </row>
    <row r="108" spans="1:10" x14ac:dyDescent="0.25">
      <c r="A108" s="32">
        <v>45993.532962962963</v>
      </c>
      <c r="B108" s="30" t="s">
        <v>297</v>
      </c>
      <c r="C108" s="30">
        <v>5.8380000000000001</v>
      </c>
      <c r="D108" s="30">
        <v>1.714</v>
      </c>
      <c r="E108" s="30">
        <v>0.48099999999999998</v>
      </c>
      <c r="F108" s="30">
        <v>0.11700000000000001</v>
      </c>
      <c r="G108" s="30">
        <v>6.8000000000000005E-2</v>
      </c>
      <c r="H108" s="30">
        <v>50</v>
      </c>
      <c r="I108" s="30">
        <v>340</v>
      </c>
      <c r="J108" s="30">
        <v>3.5999999999999997E-2</v>
      </c>
    </row>
    <row r="109" spans="1:10" x14ac:dyDescent="0.25">
      <c r="A109" s="32">
        <v>45993.534247685187</v>
      </c>
      <c r="B109" s="30" t="s">
        <v>298</v>
      </c>
      <c r="C109" s="30">
        <v>9.282</v>
      </c>
      <c r="D109" s="30">
        <v>1.5369999999999999</v>
      </c>
      <c r="E109" s="30">
        <v>0.46300000000000002</v>
      </c>
      <c r="F109" s="30">
        <v>0.186</v>
      </c>
      <c r="G109" s="30">
        <v>0.121</v>
      </c>
      <c r="H109" s="30">
        <v>50</v>
      </c>
      <c r="I109" s="30">
        <v>340</v>
      </c>
      <c r="J109" s="30">
        <v>7.4999999999999997E-2</v>
      </c>
    </row>
    <row r="110" spans="1:10" x14ac:dyDescent="0.25">
      <c r="A110" s="32">
        <v>45993.53565972222</v>
      </c>
      <c r="B110" s="30" t="s">
        <v>108</v>
      </c>
      <c r="C110" s="30">
        <v>8.6069999999999993</v>
      </c>
      <c r="D110" s="30">
        <v>1.8839999999999999</v>
      </c>
      <c r="E110" s="30">
        <v>0.6</v>
      </c>
      <c r="F110" s="30">
        <v>0.17199999999999999</v>
      </c>
      <c r="G110" s="30">
        <v>9.0999999999999998E-2</v>
      </c>
      <c r="H110" s="30">
        <v>50</v>
      </c>
      <c r="I110" s="30">
        <v>340</v>
      </c>
      <c r="J110" s="30">
        <v>7.9000000000000001E-2</v>
      </c>
    </row>
    <row r="111" spans="1:10" x14ac:dyDescent="0.25">
      <c r="A111" s="32">
        <v>45993.536192129628</v>
      </c>
      <c r="B111" s="30" t="s">
        <v>112</v>
      </c>
      <c r="C111" s="30">
        <v>8.1519999999999992</v>
      </c>
      <c r="D111" s="30">
        <v>1.8540000000000001</v>
      </c>
      <c r="E111" s="30">
        <v>0.58199999999999996</v>
      </c>
      <c r="F111" s="30">
        <v>0.16300000000000001</v>
      </c>
      <c r="G111" s="30">
        <v>8.7999999999999995E-2</v>
      </c>
      <c r="H111" s="30">
        <v>50</v>
      </c>
      <c r="I111" s="30">
        <v>340</v>
      </c>
      <c r="J111" s="30">
        <v>7.0000000000000007E-2</v>
      </c>
    </row>
    <row r="112" spans="1:10" x14ac:dyDescent="0.25">
      <c r="A112" s="32">
        <v>45993.536770833336</v>
      </c>
      <c r="B112" s="30" t="s">
        <v>299</v>
      </c>
      <c r="C112" s="30">
        <v>7.2869999999999999</v>
      </c>
      <c r="D112" s="30">
        <v>1.764</v>
      </c>
      <c r="E112" s="30">
        <v>0.51700000000000002</v>
      </c>
      <c r="F112" s="30">
        <v>0.14599999999999999</v>
      </c>
      <c r="G112" s="30">
        <v>8.3000000000000004E-2</v>
      </c>
      <c r="H112" s="30">
        <v>50</v>
      </c>
      <c r="I112" s="30">
        <v>340</v>
      </c>
      <c r="J112" s="30">
        <v>8.4000000000000005E-2</v>
      </c>
    </row>
    <row r="113" spans="1:10" x14ac:dyDescent="0.25">
      <c r="A113" s="32">
        <v>45993.538055555553</v>
      </c>
      <c r="B113" s="30" t="s">
        <v>300</v>
      </c>
      <c r="C113" s="30">
        <v>6.077</v>
      </c>
      <c r="D113" s="30">
        <v>2.0289999999999999</v>
      </c>
      <c r="E113" s="30">
        <v>0.52400000000000002</v>
      </c>
      <c r="F113" s="30">
        <v>0.122</v>
      </c>
      <c r="G113" s="30">
        <v>0.06</v>
      </c>
      <c r="H113" s="30">
        <v>50</v>
      </c>
      <c r="I113" s="30">
        <v>340</v>
      </c>
      <c r="J113" s="30">
        <v>0.08</v>
      </c>
    </row>
  </sheetData>
  <pageMargins left="0.25" right="0.25" top="0.75" bottom="0.75" header="0.3" footer="0.3"/>
  <pageSetup paperSize="9"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99"/>
  </sheetPr>
  <dimension ref="A3:O15"/>
  <sheetViews>
    <sheetView workbookViewId="0">
      <selection activeCell="D23" sqref="D23"/>
    </sheetView>
  </sheetViews>
  <sheetFormatPr baseColWidth="10" defaultRowHeight="15" x14ac:dyDescent="0.25"/>
  <sheetData>
    <row r="3" spans="1:15" x14ac:dyDescent="0.25">
      <c r="A3" s="74" t="s">
        <v>282</v>
      </c>
      <c r="B3" s="74"/>
      <c r="C3" s="74"/>
      <c r="D3" s="74"/>
      <c r="E3" s="74"/>
      <c r="F3" s="74"/>
      <c r="G3" s="74"/>
      <c r="H3" s="74"/>
    </row>
    <row r="5" spans="1:15" x14ac:dyDescent="0.25">
      <c r="A5" s="75" t="s">
        <v>254</v>
      </c>
      <c r="B5" s="75"/>
      <c r="C5" s="75"/>
      <c r="D5" s="75"/>
      <c r="E5" s="75"/>
      <c r="F5" s="75"/>
      <c r="G5" s="75"/>
      <c r="H5" s="75"/>
      <c r="I5" s="75"/>
      <c r="J5" s="75"/>
      <c r="K5" s="75"/>
      <c r="L5" s="75"/>
      <c r="M5" s="75"/>
      <c r="N5" s="75"/>
      <c r="O5" s="75"/>
    </row>
    <row r="6" spans="1:15" x14ac:dyDescent="0.25">
      <c r="A6" s="75"/>
      <c r="B6" s="75"/>
      <c r="C6" s="75"/>
      <c r="D6" s="75"/>
      <c r="E6" s="75"/>
      <c r="F6" s="75"/>
      <c r="G6" s="75"/>
      <c r="H6" s="75"/>
      <c r="I6" s="75"/>
      <c r="J6" s="75"/>
      <c r="K6" s="75"/>
      <c r="L6" s="75"/>
      <c r="M6" s="75"/>
      <c r="N6" s="75"/>
      <c r="O6" s="75"/>
    </row>
    <row r="7" spans="1:15" x14ac:dyDescent="0.25">
      <c r="A7" s="75"/>
      <c r="B7" s="75"/>
      <c r="C7" s="75"/>
      <c r="D7" s="75"/>
      <c r="E7" s="75"/>
      <c r="F7" s="75"/>
      <c r="G7" s="75"/>
      <c r="H7" s="75"/>
      <c r="I7" s="75"/>
      <c r="J7" s="75"/>
      <c r="K7" s="75"/>
      <c r="L7" s="75"/>
      <c r="M7" s="75"/>
      <c r="N7" s="75"/>
      <c r="O7" s="75"/>
    </row>
    <row r="8" spans="1:15" x14ac:dyDescent="0.25">
      <c r="A8" s="75"/>
      <c r="B8" s="75"/>
      <c r="C8" s="75"/>
      <c r="D8" s="75"/>
      <c r="E8" s="75"/>
      <c r="F8" s="75"/>
      <c r="G8" s="75"/>
      <c r="H8" s="75"/>
      <c r="I8" s="75"/>
      <c r="J8" s="75"/>
      <c r="K8" s="75"/>
      <c r="L8" s="75"/>
      <c r="M8" s="75"/>
      <c r="N8" s="75"/>
      <c r="O8" s="75"/>
    </row>
    <row r="9" spans="1:15" x14ac:dyDescent="0.25">
      <c r="A9" s="37"/>
      <c r="B9" s="37"/>
      <c r="C9" s="37"/>
      <c r="D9" s="37"/>
      <c r="E9" s="37"/>
      <c r="F9" s="37"/>
      <c r="G9" s="37"/>
      <c r="H9" s="37"/>
    </row>
    <row r="10" spans="1:15" x14ac:dyDescent="0.25">
      <c r="A10" s="77" t="s">
        <v>272</v>
      </c>
      <c r="B10" s="77"/>
      <c r="C10" s="77"/>
      <c r="D10" s="77"/>
      <c r="E10" s="77"/>
      <c r="F10" s="77"/>
      <c r="G10" s="77"/>
      <c r="H10" s="77"/>
      <c r="I10" s="77"/>
      <c r="J10" s="77"/>
      <c r="K10" s="77"/>
      <c r="L10" s="77"/>
      <c r="M10" s="77"/>
      <c r="N10" s="77"/>
      <c r="O10" s="77"/>
    </row>
    <row r="11" spans="1:15" x14ac:dyDescent="0.25">
      <c r="A11" s="77"/>
      <c r="B11" s="77"/>
      <c r="C11" s="77"/>
      <c r="D11" s="77"/>
      <c r="E11" s="77"/>
      <c r="F11" s="77"/>
      <c r="G11" s="77"/>
      <c r="H11" s="77"/>
      <c r="I11" s="77"/>
      <c r="J11" s="77"/>
      <c r="K11" s="77"/>
      <c r="L11" s="77"/>
      <c r="M11" s="77"/>
      <c r="N11" s="77"/>
      <c r="O11" s="77"/>
    </row>
    <row r="13" spans="1:15" x14ac:dyDescent="0.25">
      <c r="A13" s="76" t="s">
        <v>301</v>
      </c>
      <c r="B13" s="76"/>
      <c r="C13" s="76"/>
      <c r="D13" s="76"/>
      <c r="E13" s="76"/>
      <c r="F13" s="76"/>
      <c r="G13" s="76"/>
      <c r="H13" s="76"/>
      <c r="I13" s="76"/>
      <c r="J13" s="76"/>
      <c r="K13" s="76"/>
      <c r="L13" s="76"/>
      <c r="M13" s="76"/>
      <c r="N13" s="76"/>
    </row>
    <row r="14" spans="1:15" x14ac:dyDescent="0.25">
      <c r="A14" s="76"/>
      <c r="B14" s="76"/>
      <c r="C14" s="76"/>
      <c r="D14" s="76"/>
      <c r="E14" s="76"/>
      <c r="F14" s="76"/>
      <c r="G14" s="76"/>
      <c r="H14" s="76"/>
      <c r="I14" s="76"/>
      <c r="J14" s="76"/>
      <c r="K14" s="76"/>
      <c r="L14" s="76"/>
      <c r="M14" s="76"/>
      <c r="N14" s="76"/>
    </row>
    <row r="15" spans="1:15" x14ac:dyDescent="0.25">
      <c r="A15" s="76"/>
      <c r="B15" s="76"/>
      <c r="C15" s="76"/>
      <c r="D15" s="76"/>
      <c r="E15" s="76"/>
      <c r="F15" s="76"/>
      <c r="G15" s="76"/>
      <c r="H15" s="76"/>
      <c r="I15" s="76"/>
      <c r="J15" s="76"/>
      <c r="K15" s="76"/>
      <c r="L15" s="76"/>
      <c r="M15" s="76"/>
      <c r="N15" s="76"/>
    </row>
  </sheetData>
  <mergeCells count="4">
    <mergeCell ref="A3:H3"/>
    <mergeCell ref="A5:O8"/>
    <mergeCell ref="A13:N15"/>
    <mergeCell ref="A10: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samples</vt:lpstr>
      <vt:lpstr>sampling</vt:lpstr>
      <vt:lpstr>Extracciones</vt:lpstr>
      <vt:lpstr>Secuenciación</vt:lpstr>
      <vt:lpstr>NANODROP</vt:lpstr>
      <vt:lpstr>Observaciones</vt:lpstr>
    </vt:vector>
  </TitlesOfParts>
  <Company>CSIC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Costas</dc:creator>
  <cp:lastModifiedBy>Daniel Costas Imbernón</cp:lastModifiedBy>
  <cp:lastPrinted>2025-11-19T08:25:05Z</cp:lastPrinted>
  <dcterms:created xsi:type="dcterms:W3CDTF">2025-11-06T08:11:11Z</dcterms:created>
  <dcterms:modified xsi:type="dcterms:W3CDTF">2026-04-09T17:20:58Z</dcterms:modified>
</cp:coreProperties>
</file>